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fernandasc/Desktop/"/>
    </mc:Choice>
  </mc:AlternateContent>
  <xr:revisionPtr revIDLastSave="0" documentId="13_ncr:1_{31214042-2AA7-7340-A7F1-83B9F69A6818}" xr6:coauthVersionLast="40" xr6:coauthVersionMax="40" xr10:uidLastSave="{00000000-0000-0000-0000-000000000000}"/>
  <bookViews>
    <workbookView xWindow="600" yWindow="500" windowWidth="25000" windowHeight="14340" activeTab="3" xr2:uid="{00000000-000D-0000-FFFF-FFFF00000000}"/>
  </bookViews>
  <sheets>
    <sheet name="11;50" sheetId="2" r:id="rId1"/>
    <sheet name="11;25" sheetId="4" r:id="rId2"/>
    <sheet name="12;00" sheetId="3" r:id="rId3"/>
    <sheet name="12;40" sheetId="5" r:id="rId4"/>
    <sheet name="13;05" sheetId="6" r:id="rId5"/>
    <sheet name="RESUMEN 20 AL 24" sheetId="8" state="hidden" r:id="rId6"/>
    <sheet name="RES 03 AL 05" sheetId="9" r:id="rId7"/>
    <sheet name="RES 10 AL 14" sheetId="10" r:id="rId8"/>
    <sheet name="RES 17 AL 21" sheetId="12" r:id="rId9"/>
    <sheet name="RES 24 AL 28" sheetId="13" r:id="rId10"/>
    <sheet name="RES 31" sheetId="15" r:id="rId11"/>
  </sheets>
  <definedNames>
    <definedName name="_xlnm._FilterDatabase" localSheetId="1" hidden="1">'11;25'!$A$9:$F$162</definedName>
    <definedName name="_xlnm._FilterDatabase" localSheetId="0" hidden="1">'11;50'!$A$9:$F$97</definedName>
    <definedName name="_xlnm._FilterDatabase" localSheetId="2" hidden="1">'12;00'!$A$9:$F$160</definedName>
    <definedName name="_xlnm._FilterDatabase" localSheetId="3" hidden="1">'12;40'!$A$9:$F$157</definedName>
    <definedName name="_xlnm._FilterDatabase" localSheetId="4" hidden="1">'13;05'!$A$15:$F$158</definedName>
  </definedNames>
  <calcPr calcId="191029"/>
  <extLst>
    <ext uri="GoogleSheetsCustomDataVersion2">
      <go:sheetsCustomData xmlns:go="http://customooxmlschemas.google.com/" r:id="rId16" roundtripDataChecksum="GFppPUTSTZXL+ZRHQ3Y/DRulmGgrHI1g6wJ/obAyzCk="/>
    </ext>
  </extLst>
</workbook>
</file>

<file path=xl/calcChain.xml><?xml version="1.0" encoding="utf-8"?>
<calcChain xmlns="http://schemas.openxmlformats.org/spreadsheetml/2006/main">
  <c r="G12" i="15" l="1"/>
  <c r="F12" i="15"/>
  <c r="E12" i="15"/>
  <c r="D12" i="15"/>
  <c r="H156" i="6"/>
  <c r="I156" i="6"/>
  <c r="J156" i="6"/>
  <c r="K156" i="6"/>
  <c r="D11" i="10" s="1"/>
  <c r="L156" i="6"/>
  <c r="E11" i="10" s="1"/>
  <c r="M156" i="6"/>
  <c r="F11" i="10" s="1"/>
  <c r="N156" i="6"/>
  <c r="G11" i="10" s="1"/>
  <c r="O156" i="6"/>
  <c r="C11" i="12" s="1"/>
  <c r="P156" i="6"/>
  <c r="D11" i="12" s="1"/>
  <c r="Q156" i="6"/>
  <c r="E11" i="12" s="1"/>
  <c r="R156" i="6"/>
  <c r="F11" i="12" s="1"/>
  <c r="S156" i="6"/>
  <c r="G11" i="12" s="1"/>
  <c r="T156" i="6"/>
  <c r="C11" i="13" s="1"/>
  <c r="U156" i="6"/>
  <c r="D11" i="13" s="1"/>
  <c r="V156" i="6"/>
  <c r="E11" i="13" s="1"/>
  <c r="W156" i="6"/>
  <c r="F11" i="13" s="1"/>
  <c r="X156" i="6"/>
  <c r="G11" i="13" s="1"/>
  <c r="Y156" i="6"/>
  <c r="C11" i="15" s="1"/>
  <c r="Z10" i="6"/>
  <c r="AA10" i="6" s="1"/>
  <c r="Z11" i="6"/>
  <c r="AA11" i="6" s="1"/>
  <c r="Z12" i="6"/>
  <c r="AA12" i="6" s="1"/>
  <c r="Z13" i="6"/>
  <c r="AA13" i="6" s="1"/>
  <c r="Z14" i="6"/>
  <c r="AA14" i="6" s="1"/>
  <c r="Z15" i="6"/>
  <c r="AA15" i="6" s="1"/>
  <c r="Z16" i="6"/>
  <c r="AA16" i="6" s="1"/>
  <c r="Z17" i="6"/>
  <c r="AA17" i="6" s="1"/>
  <c r="Z18" i="6"/>
  <c r="AA18" i="6" s="1"/>
  <c r="Z19" i="6"/>
  <c r="AA19" i="6" s="1"/>
  <c r="Z20" i="6"/>
  <c r="AA20" i="6" s="1"/>
  <c r="Z21" i="6"/>
  <c r="AA21" i="6" s="1"/>
  <c r="Z22" i="6"/>
  <c r="AA22" i="6" s="1"/>
  <c r="Z23" i="6"/>
  <c r="AA23" i="6"/>
  <c r="Z24" i="6"/>
  <c r="AA24" i="6" s="1"/>
  <c r="Z25" i="6"/>
  <c r="AA25" i="6" s="1"/>
  <c r="Z26" i="6"/>
  <c r="AA26" i="6" s="1"/>
  <c r="Z27" i="6"/>
  <c r="AA27" i="6" s="1"/>
  <c r="Z28" i="6"/>
  <c r="AA28" i="6" s="1"/>
  <c r="Z29" i="6"/>
  <c r="AA29" i="6" s="1"/>
  <c r="Z30" i="6"/>
  <c r="AA30" i="6" s="1"/>
  <c r="Z31" i="6"/>
  <c r="AA31" i="6" s="1"/>
  <c r="Z32" i="6"/>
  <c r="AA32" i="6" s="1"/>
  <c r="Z33" i="6"/>
  <c r="AA33" i="6" s="1"/>
  <c r="Z34" i="6"/>
  <c r="AA34" i="6" s="1"/>
  <c r="Z35" i="6"/>
  <c r="AA35" i="6" s="1"/>
  <c r="Z36" i="6"/>
  <c r="AA36" i="6" s="1"/>
  <c r="Z37" i="6"/>
  <c r="AA37" i="6" s="1"/>
  <c r="Z38" i="6"/>
  <c r="AA38" i="6" s="1"/>
  <c r="Z39" i="6"/>
  <c r="AA39" i="6" s="1"/>
  <c r="Z40" i="6"/>
  <c r="AA40" i="6" s="1"/>
  <c r="Z41" i="6"/>
  <c r="AA41" i="6" s="1"/>
  <c r="Z42" i="6"/>
  <c r="AA42" i="6" s="1"/>
  <c r="Z43" i="6"/>
  <c r="AA43" i="6" s="1"/>
  <c r="Z44" i="6"/>
  <c r="AA44" i="6" s="1"/>
  <c r="Z45" i="6"/>
  <c r="AA45" i="6" s="1"/>
  <c r="Z46" i="6"/>
  <c r="AA46" i="6" s="1"/>
  <c r="Z47" i="6"/>
  <c r="AA47" i="6" s="1"/>
  <c r="Z48" i="6"/>
  <c r="AA48" i="6" s="1"/>
  <c r="Z49" i="6"/>
  <c r="AA49" i="6" s="1"/>
  <c r="Z50" i="6"/>
  <c r="AA50" i="6" s="1"/>
  <c r="Z51" i="6"/>
  <c r="AA51" i="6" s="1"/>
  <c r="Z52" i="6"/>
  <c r="AA52" i="6"/>
  <c r="Z53" i="6"/>
  <c r="AA53" i="6" s="1"/>
  <c r="Z54" i="6"/>
  <c r="AA54" i="6" s="1"/>
  <c r="Z55" i="6"/>
  <c r="AA55" i="6" s="1"/>
  <c r="Z56" i="6"/>
  <c r="AA56" i="6" s="1"/>
  <c r="Z57" i="6"/>
  <c r="AA57" i="6" s="1"/>
  <c r="Z58" i="6"/>
  <c r="AA58" i="6" s="1"/>
  <c r="Z59" i="6"/>
  <c r="AA59" i="6" s="1"/>
  <c r="Z60" i="6"/>
  <c r="AA60" i="6"/>
  <c r="Z61" i="6"/>
  <c r="AA61" i="6" s="1"/>
  <c r="Z62" i="6"/>
  <c r="AA62" i="6" s="1"/>
  <c r="Z63" i="6"/>
  <c r="AA63" i="6" s="1"/>
  <c r="Z64" i="6"/>
  <c r="AA64" i="6" s="1"/>
  <c r="Z65" i="6"/>
  <c r="AA65" i="6" s="1"/>
  <c r="Z66" i="6"/>
  <c r="AA66" i="6" s="1"/>
  <c r="Z67" i="6"/>
  <c r="AA67" i="6"/>
  <c r="Z68" i="6"/>
  <c r="AA68" i="6" s="1"/>
  <c r="Z70" i="6"/>
  <c r="AA70" i="6"/>
  <c r="Z71" i="6"/>
  <c r="AA71" i="6" s="1"/>
  <c r="Z72" i="6"/>
  <c r="AA72" i="6" s="1"/>
  <c r="Z73" i="6"/>
  <c r="AA73" i="6"/>
  <c r="Z74" i="6"/>
  <c r="AA74" i="6" s="1"/>
  <c r="Z75" i="6"/>
  <c r="AA75" i="6" s="1"/>
  <c r="Z76" i="6"/>
  <c r="AA76" i="6"/>
  <c r="Z77" i="6"/>
  <c r="AA77" i="6" s="1"/>
  <c r="Z78" i="6"/>
  <c r="AA78" i="6" s="1"/>
  <c r="Z79" i="6"/>
  <c r="AA79" i="6"/>
  <c r="Z80" i="6"/>
  <c r="AA80" i="6" s="1"/>
  <c r="Z81" i="6"/>
  <c r="AA81" i="6" s="1"/>
  <c r="Z82" i="6"/>
  <c r="AA82" i="6" s="1"/>
  <c r="Z83" i="6"/>
  <c r="AA83" i="6"/>
  <c r="Z84" i="6"/>
  <c r="AA84" i="6" s="1"/>
  <c r="Z85" i="6"/>
  <c r="AA85" i="6"/>
  <c r="Z86" i="6"/>
  <c r="AA86" i="6" s="1"/>
  <c r="Z87" i="6"/>
  <c r="AA87" i="6" s="1"/>
  <c r="Z88" i="6"/>
  <c r="AA88" i="6" s="1"/>
  <c r="Z89" i="6"/>
  <c r="AA89" i="6" s="1"/>
  <c r="Z90" i="6"/>
  <c r="AA90" i="6" s="1"/>
  <c r="Z91" i="6"/>
  <c r="AA91" i="6" s="1"/>
  <c r="Z92" i="6"/>
  <c r="AA92" i="6" s="1"/>
  <c r="Z93" i="6"/>
  <c r="AA93" i="6" s="1"/>
  <c r="Z94" i="6"/>
  <c r="AA94" i="6" s="1"/>
  <c r="Z95" i="6"/>
  <c r="AA95" i="6"/>
  <c r="Z96" i="6"/>
  <c r="AA96" i="6" s="1"/>
  <c r="Z97" i="6"/>
  <c r="AA97" i="6"/>
  <c r="Z98" i="6"/>
  <c r="AA98" i="6" s="1"/>
  <c r="Z99" i="6"/>
  <c r="AA99" i="6" s="1"/>
  <c r="Z100" i="6"/>
  <c r="AA100" i="6" s="1"/>
  <c r="Z101" i="6"/>
  <c r="AA101" i="6"/>
  <c r="Z102" i="6"/>
  <c r="AA102" i="6" s="1"/>
  <c r="Z103" i="6"/>
  <c r="AA103" i="6"/>
  <c r="Z104" i="6"/>
  <c r="AA104" i="6" s="1"/>
  <c r="Z105" i="6"/>
  <c r="AA105" i="6" s="1"/>
  <c r="Z106" i="6"/>
  <c r="AA106" i="6" s="1"/>
  <c r="Z107" i="6"/>
  <c r="AA107" i="6" s="1"/>
  <c r="Z108" i="6"/>
  <c r="AA108" i="6" s="1"/>
  <c r="Z109" i="6"/>
  <c r="AA109" i="6" s="1"/>
  <c r="Z110" i="6"/>
  <c r="AA110" i="6" s="1"/>
  <c r="Z111" i="6"/>
  <c r="AA111" i="6" s="1"/>
  <c r="Z112" i="6"/>
  <c r="AA112" i="6" s="1"/>
  <c r="Z113" i="6"/>
  <c r="AA113" i="6"/>
  <c r="Z114" i="6"/>
  <c r="AA114" i="6" s="1"/>
  <c r="Z115" i="6"/>
  <c r="AA115" i="6"/>
  <c r="Z116" i="6"/>
  <c r="AA116" i="6" s="1"/>
  <c r="Z117" i="6"/>
  <c r="AA117" i="6" s="1"/>
  <c r="Z118" i="6"/>
  <c r="AA118" i="6" s="1"/>
  <c r="Z119" i="6"/>
  <c r="AA119" i="6"/>
  <c r="Z120" i="6"/>
  <c r="AA120" i="6" s="1"/>
  <c r="Z121" i="6"/>
  <c r="AA121" i="6"/>
  <c r="Z122" i="6"/>
  <c r="AA122" i="6" s="1"/>
  <c r="Z123" i="6"/>
  <c r="AA123" i="6" s="1"/>
  <c r="Z124" i="6"/>
  <c r="AA124" i="6" s="1"/>
  <c r="Z125" i="6"/>
  <c r="AA125" i="6" s="1"/>
  <c r="Z126" i="6"/>
  <c r="AA126" i="6" s="1"/>
  <c r="Z127" i="6"/>
  <c r="AA127" i="6"/>
  <c r="Z128" i="6"/>
  <c r="AA128" i="6" s="1"/>
  <c r="Z129" i="6"/>
  <c r="AA129" i="6" s="1"/>
  <c r="Z130" i="6"/>
  <c r="AA130" i="6" s="1"/>
  <c r="Z131" i="6"/>
  <c r="AA131" i="6"/>
  <c r="Z132" i="6"/>
  <c r="AA132" i="6" s="1"/>
  <c r="Z133" i="6"/>
  <c r="AA133" i="6" s="1"/>
  <c r="Z134" i="6"/>
  <c r="AA134" i="6" s="1"/>
  <c r="Z135" i="6"/>
  <c r="AA135" i="6" s="1"/>
  <c r="Z136" i="6"/>
  <c r="AA136" i="6" s="1"/>
  <c r="Z137" i="6"/>
  <c r="AA137" i="6" s="1"/>
  <c r="Z138" i="6"/>
  <c r="AA138" i="6" s="1"/>
  <c r="Z139" i="6"/>
  <c r="AA139" i="6" s="1"/>
  <c r="Z140" i="6"/>
  <c r="AA140" i="6" s="1"/>
  <c r="Z141" i="6"/>
  <c r="AA141" i="6" s="1"/>
  <c r="Z142" i="6"/>
  <c r="AA142" i="6" s="1"/>
  <c r="Z143" i="6"/>
  <c r="AA143" i="6" s="1"/>
  <c r="Z144" i="6"/>
  <c r="AA144" i="6" s="1"/>
  <c r="Z145" i="6"/>
  <c r="AA145" i="6"/>
  <c r="Z146" i="6"/>
  <c r="AA146" i="6" s="1"/>
  <c r="Z147" i="6"/>
  <c r="AA147" i="6"/>
  <c r="Z148" i="6"/>
  <c r="AA148" i="6" s="1"/>
  <c r="Z149" i="6"/>
  <c r="AA149" i="6"/>
  <c r="Z150" i="6"/>
  <c r="AA150" i="6" s="1"/>
  <c r="Z151" i="6"/>
  <c r="AA151" i="6" s="1"/>
  <c r="Z152" i="6"/>
  <c r="AA152" i="6" s="1"/>
  <c r="Z153" i="6"/>
  <c r="AA153" i="6" s="1"/>
  <c r="Z154" i="6"/>
  <c r="AA154" i="6" s="1"/>
  <c r="Z155" i="6"/>
  <c r="AA155" i="6"/>
  <c r="Z10" i="5"/>
  <c r="AA10" i="5" s="1"/>
  <c r="Z11" i="5"/>
  <c r="AA11" i="5" s="1"/>
  <c r="Z12" i="5"/>
  <c r="AA12" i="5" s="1"/>
  <c r="Z13" i="5"/>
  <c r="AA13" i="5" s="1"/>
  <c r="Z14" i="5"/>
  <c r="AA14" i="5" s="1"/>
  <c r="Z15" i="5"/>
  <c r="AA15" i="5" s="1"/>
  <c r="Z16" i="5"/>
  <c r="AA16" i="5" s="1"/>
  <c r="Z17" i="5"/>
  <c r="AA17" i="5" s="1"/>
  <c r="Z18" i="5"/>
  <c r="AA18" i="5" s="1"/>
  <c r="Z19" i="5"/>
  <c r="AA19" i="5" s="1"/>
  <c r="Z20" i="5"/>
  <c r="AA20" i="5" s="1"/>
  <c r="Z21" i="5"/>
  <c r="AA21" i="5" s="1"/>
  <c r="Z23" i="5"/>
  <c r="AA23" i="5" s="1"/>
  <c r="Z24" i="5"/>
  <c r="AA24" i="5" s="1"/>
  <c r="Z25" i="5"/>
  <c r="AA25" i="5" s="1"/>
  <c r="Z26" i="5"/>
  <c r="AA26" i="5" s="1"/>
  <c r="Z27" i="5"/>
  <c r="AA27" i="5" s="1"/>
  <c r="Z28" i="5"/>
  <c r="AA28" i="5" s="1"/>
  <c r="Z29" i="5"/>
  <c r="AA29" i="5" s="1"/>
  <c r="Z30" i="5"/>
  <c r="AA30" i="5" s="1"/>
  <c r="Z31" i="5"/>
  <c r="AA31" i="5" s="1"/>
  <c r="Z32" i="5"/>
  <c r="AA32" i="5" s="1"/>
  <c r="Z33" i="5"/>
  <c r="AA33" i="5" s="1"/>
  <c r="Z34" i="5"/>
  <c r="AA34" i="5" s="1"/>
  <c r="Z35" i="5"/>
  <c r="AA35" i="5" s="1"/>
  <c r="Z36" i="5"/>
  <c r="AA36" i="5" s="1"/>
  <c r="Z37" i="5"/>
  <c r="AA37" i="5" s="1"/>
  <c r="Z38" i="5"/>
  <c r="AA38" i="5" s="1"/>
  <c r="Z39" i="5"/>
  <c r="AA39" i="5" s="1"/>
  <c r="Z40" i="5"/>
  <c r="AA40" i="5" s="1"/>
  <c r="Z41" i="5"/>
  <c r="AA41" i="5" s="1"/>
  <c r="Z42" i="5"/>
  <c r="AA42" i="5" s="1"/>
  <c r="Z43" i="5"/>
  <c r="AA43" i="5" s="1"/>
  <c r="Z44" i="5"/>
  <c r="AA44" i="5" s="1"/>
  <c r="Z45" i="5"/>
  <c r="AA45" i="5" s="1"/>
  <c r="Z46" i="5"/>
  <c r="AA46" i="5" s="1"/>
  <c r="Z47" i="5"/>
  <c r="AA47" i="5" s="1"/>
  <c r="Z48" i="5"/>
  <c r="AA48" i="5" s="1"/>
  <c r="Z49" i="5"/>
  <c r="AA49" i="5" s="1"/>
  <c r="Z50" i="5"/>
  <c r="AA50" i="5" s="1"/>
  <c r="Z51" i="5"/>
  <c r="AA51" i="5" s="1"/>
  <c r="Z52" i="5"/>
  <c r="AA52" i="5" s="1"/>
  <c r="Z53" i="5"/>
  <c r="AA53" i="5" s="1"/>
  <c r="Z54" i="5"/>
  <c r="AA54" i="5" s="1"/>
  <c r="Z55" i="5"/>
  <c r="AA55" i="5" s="1"/>
  <c r="Z56" i="5"/>
  <c r="AA56" i="5" s="1"/>
  <c r="Z57" i="5"/>
  <c r="AA57" i="5" s="1"/>
  <c r="Z58" i="5"/>
  <c r="AA58" i="5" s="1"/>
  <c r="Z59" i="5"/>
  <c r="AA59" i="5" s="1"/>
  <c r="Z60" i="5"/>
  <c r="AA60" i="5" s="1"/>
  <c r="Z61" i="5"/>
  <c r="AA61" i="5" s="1"/>
  <c r="Z62" i="5"/>
  <c r="AA62" i="5"/>
  <c r="Z63" i="5"/>
  <c r="AA63" i="5" s="1"/>
  <c r="Z64" i="5"/>
  <c r="AA64" i="5" s="1"/>
  <c r="Z65" i="5"/>
  <c r="AA65" i="5" s="1"/>
  <c r="Z66" i="5"/>
  <c r="AA66" i="5" s="1"/>
  <c r="Z67" i="5"/>
  <c r="AA67" i="5" s="1"/>
  <c r="Z68" i="5"/>
  <c r="AA68" i="5" s="1"/>
  <c r="Z69" i="5"/>
  <c r="AA69" i="5" s="1"/>
  <c r="Z70" i="5"/>
  <c r="AA70" i="5" s="1"/>
  <c r="Z71" i="5"/>
  <c r="AA71" i="5" s="1"/>
  <c r="Z72" i="5"/>
  <c r="AA72" i="5" s="1"/>
  <c r="Z73" i="5"/>
  <c r="AA73" i="5" s="1"/>
  <c r="Z74" i="5"/>
  <c r="AA74" i="5" s="1"/>
  <c r="Z75" i="5"/>
  <c r="AA75" i="5" s="1"/>
  <c r="Z76" i="5"/>
  <c r="AA76" i="5" s="1"/>
  <c r="Z77" i="5"/>
  <c r="AA77" i="5" s="1"/>
  <c r="Z78" i="5"/>
  <c r="AA78" i="5" s="1"/>
  <c r="Z79" i="5"/>
  <c r="AA79" i="5" s="1"/>
  <c r="Z80" i="5"/>
  <c r="AA80" i="5" s="1"/>
  <c r="Z81" i="5"/>
  <c r="AA81" i="5" s="1"/>
  <c r="Z82" i="5"/>
  <c r="AA82" i="5" s="1"/>
  <c r="Z83" i="5"/>
  <c r="AA83" i="5" s="1"/>
  <c r="Z84" i="5"/>
  <c r="AA84" i="5" s="1"/>
  <c r="Z85" i="5"/>
  <c r="AA85" i="5" s="1"/>
  <c r="Z86" i="5"/>
  <c r="AA86" i="5" s="1"/>
  <c r="Z87" i="5"/>
  <c r="AA87" i="5" s="1"/>
  <c r="Z88" i="5"/>
  <c r="AA88" i="5" s="1"/>
  <c r="Z89" i="5"/>
  <c r="AA89" i="5" s="1"/>
  <c r="Z90" i="5"/>
  <c r="AA90" i="5"/>
  <c r="Z91" i="5"/>
  <c r="AA91" i="5" s="1"/>
  <c r="Z92" i="5"/>
  <c r="AA92" i="5" s="1"/>
  <c r="Z93" i="5"/>
  <c r="AA93" i="5" s="1"/>
  <c r="Z94" i="5"/>
  <c r="AA94" i="5" s="1"/>
  <c r="Z95" i="5"/>
  <c r="AA95" i="5" s="1"/>
  <c r="Z96" i="5"/>
  <c r="AA96" i="5" s="1"/>
  <c r="Z97" i="5"/>
  <c r="AA97" i="5" s="1"/>
  <c r="Z98" i="5"/>
  <c r="AA98" i="5" s="1"/>
  <c r="Z99" i="5"/>
  <c r="AA99" i="5" s="1"/>
  <c r="Z100" i="5"/>
  <c r="AA100" i="5" s="1"/>
  <c r="Z101" i="5"/>
  <c r="AA101" i="5" s="1"/>
  <c r="Z102" i="5"/>
  <c r="AA102" i="5" s="1"/>
  <c r="Z103" i="5"/>
  <c r="AA103" i="5" s="1"/>
  <c r="Z104" i="5"/>
  <c r="AA104" i="5" s="1"/>
  <c r="Z105" i="5"/>
  <c r="AA105" i="5" s="1"/>
  <c r="Z106" i="5"/>
  <c r="AA106" i="5" s="1"/>
  <c r="Z107" i="5"/>
  <c r="AA107" i="5" s="1"/>
  <c r="Z108" i="5"/>
  <c r="AA108" i="5" s="1"/>
  <c r="Z109" i="5"/>
  <c r="AA109" i="5" s="1"/>
  <c r="Z110" i="5"/>
  <c r="AA110" i="5" s="1"/>
  <c r="Z111" i="5"/>
  <c r="AA111" i="5" s="1"/>
  <c r="Z112" i="5"/>
  <c r="AA112" i="5" s="1"/>
  <c r="Z113" i="5"/>
  <c r="AA113" i="5" s="1"/>
  <c r="Z114" i="5"/>
  <c r="AA114" i="5"/>
  <c r="Z115" i="5"/>
  <c r="AA115" i="5" s="1"/>
  <c r="Z116" i="5"/>
  <c r="AA116" i="5" s="1"/>
  <c r="Z117" i="5"/>
  <c r="AA117" i="5" s="1"/>
  <c r="Z118" i="5"/>
  <c r="AA118" i="5" s="1"/>
  <c r="Z119" i="5"/>
  <c r="AA119" i="5" s="1"/>
  <c r="Z120" i="5"/>
  <c r="AA120" i="5" s="1"/>
  <c r="Z121" i="5"/>
  <c r="AA121" i="5" s="1"/>
  <c r="Z122" i="5"/>
  <c r="AA122" i="5" s="1"/>
  <c r="Z123" i="5"/>
  <c r="AA123" i="5" s="1"/>
  <c r="Z124" i="5"/>
  <c r="AA124" i="5"/>
  <c r="Z125" i="5"/>
  <c r="AA125" i="5" s="1"/>
  <c r="Z126" i="5"/>
  <c r="AA126" i="5" s="1"/>
  <c r="Z127" i="5"/>
  <c r="AA127" i="5" s="1"/>
  <c r="Z128" i="5"/>
  <c r="AA128" i="5"/>
  <c r="Z129" i="5"/>
  <c r="AA129" i="5" s="1"/>
  <c r="Z130" i="5"/>
  <c r="AA130" i="5" s="1"/>
  <c r="Z131" i="5"/>
  <c r="AA131" i="5" s="1"/>
  <c r="Z132" i="5"/>
  <c r="AA132" i="5"/>
  <c r="Z133" i="5"/>
  <c r="AA133" i="5" s="1"/>
  <c r="Z134" i="5"/>
  <c r="AA134" i="5"/>
  <c r="Z135" i="5"/>
  <c r="AA135" i="5" s="1"/>
  <c r="Z137" i="5"/>
  <c r="AA137" i="5"/>
  <c r="Z138" i="5"/>
  <c r="AA138" i="5" s="1"/>
  <c r="Z139" i="5"/>
  <c r="AA139" i="5" s="1"/>
  <c r="Z140" i="5"/>
  <c r="AA140" i="5" s="1"/>
  <c r="Z141" i="5"/>
  <c r="AA141" i="5"/>
  <c r="Z142" i="5"/>
  <c r="AA142" i="5" s="1"/>
  <c r="Z143" i="5"/>
  <c r="AA143" i="5"/>
  <c r="Z144" i="5"/>
  <c r="AA144" i="5" s="1"/>
  <c r="Z145" i="5"/>
  <c r="AA145" i="5" s="1"/>
  <c r="Z146" i="5"/>
  <c r="AA146" i="5" s="1"/>
  <c r="Z147" i="5"/>
  <c r="AA147" i="5"/>
  <c r="Z148" i="5"/>
  <c r="AA148" i="5" s="1"/>
  <c r="Z149" i="5"/>
  <c r="AA149" i="5"/>
  <c r="Z150" i="5"/>
  <c r="AA150" i="5" s="1"/>
  <c r="Z151" i="5"/>
  <c r="AA151" i="5"/>
  <c r="Z152" i="5"/>
  <c r="AA152" i="5" s="1"/>
  <c r="Z153" i="5"/>
  <c r="AA153" i="5" s="1"/>
  <c r="Z154" i="5"/>
  <c r="AA154" i="5" s="1"/>
  <c r="H155" i="5"/>
  <c r="I155" i="5"/>
  <c r="J155" i="5"/>
  <c r="K155" i="5"/>
  <c r="D10" i="10" s="1"/>
  <c r="L155" i="5"/>
  <c r="E10" i="10" s="1"/>
  <c r="M155" i="5"/>
  <c r="F10" i="10" s="1"/>
  <c r="N155" i="5"/>
  <c r="G10" i="10" s="1"/>
  <c r="O155" i="5"/>
  <c r="C10" i="12" s="1"/>
  <c r="P155" i="5"/>
  <c r="D10" i="12" s="1"/>
  <c r="Q155" i="5"/>
  <c r="E10" i="12" s="1"/>
  <c r="R155" i="5"/>
  <c r="F10" i="12" s="1"/>
  <c r="S155" i="5"/>
  <c r="G10" i="12" s="1"/>
  <c r="T155" i="5"/>
  <c r="C10" i="13" s="1"/>
  <c r="U155" i="5"/>
  <c r="D10" i="13" s="1"/>
  <c r="V155" i="5"/>
  <c r="E10" i="13" s="1"/>
  <c r="W155" i="5"/>
  <c r="F10" i="13" s="1"/>
  <c r="X155" i="5"/>
  <c r="G10" i="13" s="1"/>
  <c r="Y155" i="5"/>
  <c r="C10" i="15" s="1"/>
  <c r="H10" i="15" s="1"/>
  <c r="H158" i="3"/>
  <c r="I158" i="3"/>
  <c r="J158" i="3"/>
  <c r="K158" i="3"/>
  <c r="D8" i="10" s="1"/>
  <c r="L158" i="3"/>
  <c r="E8" i="10" s="1"/>
  <c r="M158" i="3"/>
  <c r="F8" i="10" s="1"/>
  <c r="N158" i="3"/>
  <c r="G8" i="10" s="1"/>
  <c r="O158" i="3"/>
  <c r="P158" i="3"/>
  <c r="Q158" i="3"/>
  <c r="R158" i="3"/>
  <c r="S158" i="3"/>
  <c r="G8" i="12" s="1"/>
  <c r="T158" i="3"/>
  <c r="C8" i="13" s="1"/>
  <c r="U158" i="3"/>
  <c r="D8" i="13" s="1"/>
  <c r="V158" i="3"/>
  <c r="E8" i="13" s="1"/>
  <c r="W158" i="3"/>
  <c r="F8" i="13" s="1"/>
  <c r="X158" i="3"/>
  <c r="G8" i="13" s="1"/>
  <c r="Y158" i="3"/>
  <c r="C8" i="15" s="1"/>
  <c r="H8" i="15" s="1"/>
  <c r="J8" i="15" s="1"/>
  <c r="Z11" i="3"/>
  <c r="AA11" i="3" s="1"/>
  <c r="Z12" i="3"/>
  <c r="AA12" i="3" s="1"/>
  <c r="Z13" i="3"/>
  <c r="AA13" i="3"/>
  <c r="Z14" i="3"/>
  <c r="AA14" i="3" s="1"/>
  <c r="Z15" i="3"/>
  <c r="AA15" i="3" s="1"/>
  <c r="Z16" i="3"/>
  <c r="AA16" i="3" s="1"/>
  <c r="Z17" i="3"/>
  <c r="AA17" i="3" s="1"/>
  <c r="Z18" i="3"/>
  <c r="AA18" i="3" s="1"/>
  <c r="Z19" i="3"/>
  <c r="AA19" i="3"/>
  <c r="Z20" i="3"/>
  <c r="AA20" i="3" s="1"/>
  <c r="Z21" i="3"/>
  <c r="AA21" i="3" s="1"/>
  <c r="Z22" i="3"/>
  <c r="AA22" i="3"/>
  <c r="Z23" i="3"/>
  <c r="AA23" i="3" s="1"/>
  <c r="Z24" i="3"/>
  <c r="AA24" i="3" s="1"/>
  <c r="Z25" i="3"/>
  <c r="AA25" i="3" s="1"/>
  <c r="Z26" i="3"/>
  <c r="AA26" i="3"/>
  <c r="Z27" i="3"/>
  <c r="AA27" i="3" s="1"/>
  <c r="Z28" i="3"/>
  <c r="AA28" i="3"/>
  <c r="Z29" i="3"/>
  <c r="AA29" i="3" s="1"/>
  <c r="Z30" i="3"/>
  <c r="AA30" i="3" s="1"/>
  <c r="Z31" i="3"/>
  <c r="AA31" i="3" s="1"/>
  <c r="Z32" i="3"/>
  <c r="AA32" i="3" s="1"/>
  <c r="Z33" i="3"/>
  <c r="AA33" i="3" s="1"/>
  <c r="Z34" i="3"/>
  <c r="AA34" i="3" s="1"/>
  <c r="Z35" i="3"/>
  <c r="AA35" i="3" s="1"/>
  <c r="Z36" i="3"/>
  <c r="AA36" i="3"/>
  <c r="Z37" i="3"/>
  <c r="AA37" i="3" s="1"/>
  <c r="Z38" i="3"/>
  <c r="AA38" i="3" s="1"/>
  <c r="Z39" i="3"/>
  <c r="AA39" i="3" s="1"/>
  <c r="Z40" i="3"/>
  <c r="AA40" i="3" s="1"/>
  <c r="Z41" i="3"/>
  <c r="AA41" i="3" s="1"/>
  <c r="Z42" i="3"/>
  <c r="AA42" i="3" s="1"/>
  <c r="Z43" i="3"/>
  <c r="AA43" i="3" s="1"/>
  <c r="Z44" i="3"/>
  <c r="AA44" i="3" s="1"/>
  <c r="Z45" i="3"/>
  <c r="AA45" i="3" s="1"/>
  <c r="Z46" i="3"/>
  <c r="AA46" i="3" s="1"/>
  <c r="Z47" i="3"/>
  <c r="AA47" i="3" s="1"/>
  <c r="Z48" i="3"/>
  <c r="AA48" i="3" s="1"/>
  <c r="Z49" i="3"/>
  <c r="AA49" i="3" s="1"/>
  <c r="Z50" i="3"/>
  <c r="AA50" i="3" s="1"/>
  <c r="Z51" i="3"/>
  <c r="AA51" i="3" s="1"/>
  <c r="Z52" i="3"/>
  <c r="AA52" i="3" s="1"/>
  <c r="Z53" i="3"/>
  <c r="AA53" i="3" s="1"/>
  <c r="Z54" i="3"/>
  <c r="AA54" i="3" s="1"/>
  <c r="Z55" i="3"/>
  <c r="AA55" i="3"/>
  <c r="Z56" i="3"/>
  <c r="AA56" i="3" s="1"/>
  <c r="Z57" i="3"/>
  <c r="AA57" i="3" s="1"/>
  <c r="Z58" i="3"/>
  <c r="AA58" i="3"/>
  <c r="Z59" i="3"/>
  <c r="AA59" i="3" s="1"/>
  <c r="Z60" i="3"/>
  <c r="AA60" i="3"/>
  <c r="Z61" i="3"/>
  <c r="AA61" i="3" s="1"/>
  <c r="Z62" i="3"/>
  <c r="AA62" i="3" s="1"/>
  <c r="Z63" i="3"/>
  <c r="AA63" i="3" s="1"/>
  <c r="Z64" i="3"/>
  <c r="AA64" i="3" s="1"/>
  <c r="Z65" i="3"/>
  <c r="AA65" i="3" s="1"/>
  <c r="Z66" i="3"/>
  <c r="AA66" i="3" s="1"/>
  <c r="Z67" i="3"/>
  <c r="AA67" i="3"/>
  <c r="Z69" i="3"/>
  <c r="AA69" i="3" s="1"/>
  <c r="Z70" i="3"/>
  <c r="AA70" i="3" s="1"/>
  <c r="Z71" i="3"/>
  <c r="AA71" i="3" s="1"/>
  <c r="Z72" i="3"/>
  <c r="AA72" i="3"/>
  <c r="Z73" i="3"/>
  <c r="AA73" i="3" s="1"/>
  <c r="Z74" i="3"/>
  <c r="AA74" i="3"/>
  <c r="Z75" i="3"/>
  <c r="AA75" i="3" s="1"/>
  <c r="Z76" i="3"/>
  <c r="AA76" i="3" s="1"/>
  <c r="Z77" i="3"/>
  <c r="AA77" i="3" s="1"/>
  <c r="Z78" i="3"/>
  <c r="AA78" i="3" s="1"/>
  <c r="Z79" i="3"/>
  <c r="AA79" i="3" s="1"/>
  <c r="Z80" i="3"/>
  <c r="AA80" i="3"/>
  <c r="Z81" i="3"/>
  <c r="AA81" i="3" s="1"/>
  <c r="Z82" i="3"/>
  <c r="AA82" i="3" s="1"/>
  <c r="Z83" i="3"/>
  <c r="AA83" i="3" s="1"/>
  <c r="Z84" i="3"/>
  <c r="AA84" i="3" s="1"/>
  <c r="Z85" i="3"/>
  <c r="AA85" i="3"/>
  <c r="Z86" i="3"/>
  <c r="AA86" i="3" s="1"/>
  <c r="Z87" i="3"/>
  <c r="AA87" i="3" s="1"/>
  <c r="Z88" i="3"/>
  <c r="AA88" i="3" s="1"/>
  <c r="Z89" i="3"/>
  <c r="AA89" i="3" s="1"/>
  <c r="Z90" i="3"/>
  <c r="AA90" i="3" s="1"/>
  <c r="Z91" i="3"/>
  <c r="AA91" i="3" s="1"/>
  <c r="Z92" i="3"/>
  <c r="AA92" i="3" s="1"/>
  <c r="Z93" i="3"/>
  <c r="AA93" i="3" s="1"/>
  <c r="Z94" i="3"/>
  <c r="AA94" i="3" s="1"/>
  <c r="Z95" i="3"/>
  <c r="AA95" i="3" s="1"/>
  <c r="Z96" i="3"/>
  <c r="AA96" i="3" s="1"/>
  <c r="Z97" i="3"/>
  <c r="AA97" i="3" s="1"/>
  <c r="Z98" i="3"/>
  <c r="AA98" i="3" s="1"/>
  <c r="Z99" i="3"/>
  <c r="AA99" i="3" s="1"/>
  <c r="Z100" i="3"/>
  <c r="AA100" i="3"/>
  <c r="Z101" i="3"/>
  <c r="AA101" i="3" s="1"/>
  <c r="Z102" i="3"/>
  <c r="AA102" i="3" s="1"/>
  <c r="Z103" i="3"/>
  <c r="AA103" i="3" s="1"/>
  <c r="Z104" i="3"/>
  <c r="AA104" i="3" s="1"/>
  <c r="Z105" i="3"/>
  <c r="AA105" i="3" s="1"/>
  <c r="Z106" i="3"/>
  <c r="AA106" i="3"/>
  <c r="Z107" i="3"/>
  <c r="AA107" i="3"/>
  <c r="Z108" i="3"/>
  <c r="AA108" i="3" s="1"/>
  <c r="Z109" i="3"/>
  <c r="AA109" i="3" s="1"/>
  <c r="Z110" i="3"/>
  <c r="AA110" i="3" s="1"/>
  <c r="Z111" i="3"/>
  <c r="AA111" i="3" s="1"/>
  <c r="Z112" i="3"/>
  <c r="AA112" i="3" s="1"/>
  <c r="Z113" i="3"/>
  <c r="AA113" i="3" s="1"/>
  <c r="Z114" i="3"/>
  <c r="AA114" i="3" s="1"/>
  <c r="Z115" i="3"/>
  <c r="AA115" i="3" s="1"/>
  <c r="Z116" i="3"/>
  <c r="AA116" i="3" s="1"/>
  <c r="Z117" i="3"/>
  <c r="AA117" i="3" s="1"/>
  <c r="Z118" i="3"/>
  <c r="AA118" i="3" s="1"/>
  <c r="Z119" i="3"/>
  <c r="AA119" i="3" s="1"/>
  <c r="Z120" i="3"/>
  <c r="AA120" i="3" s="1"/>
  <c r="Z121" i="3"/>
  <c r="AA121" i="3" s="1"/>
  <c r="Z122" i="3"/>
  <c r="AA122" i="3"/>
  <c r="Z123" i="3"/>
  <c r="AA123" i="3" s="1"/>
  <c r="Z124" i="3"/>
  <c r="AA124" i="3" s="1"/>
  <c r="Z125" i="3"/>
  <c r="AA125" i="3" s="1"/>
  <c r="Z126" i="3"/>
  <c r="AA126" i="3" s="1"/>
  <c r="Z127" i="3"/>
  <c r="AA127" i="3" s="1"/>
  <c r="Z128" i="3"/>
  <c r="AA128" i="3" s="1"/>
  <c r="Z129" i="3"/>
  <c r="AA129" i="3" s="1"/>
  <c r="Z130" i="3"/>
  <c r="AA130" i="3" s="1"/>
  <c r="Z131" i="3"/>
  <c r="AA131" i="3"/>
  <c r="Z132" i="3"/>
  <c r="AA132" i="3" s="1"/>
  <c r="Z133" i="3"/>
  <c r="AA133" i="3" s="1"/>
  <c r="Z134" i="3"/>
  <c r="AA134" i="3"/>
  <c r="Z135" i="3"/>
  <c r="AA135" i="3"/>
  <c r="Z136" i="3"/>
  <c r="AA136" i="3" s="1"/>
  <c r="Z137" i="3"/>
  <c r="AA137" i="3" s="1"/>
  <c r="Z138" i="3"/>
  <c r="AA138" i="3" s="1"/>
  <c r="Z139" i="3"/>
  <c r="AA139" i="3" s="1"/>
  <c r="Z140" i="3"/>
  <c r="AA140" i="3" s="1"/>
  <c r="Z141" i="3"/>
  <c r="AA141" i="3" s="1"/>
  <c r="Z142" i="3"/>
  <c r="AA142" i="3"/>
  <c r="Z143" i="3"/>
  <c r="AA143" i="3" s="1"/>
  <c r="Z144" i="3"/>
  <c r="AA144" i="3"/>
  <c r="Z145" i="3"/>
  <c r="AA145" i="3" s="1"/>
  <c r="Z146" i="3"/>
  <c r="AA146" i="3"/>
  <c r="Z147" i="3"/>
  <c r="AA147" i="3" s="1"/>
  <c r="Z148" i="3"/>
  <c r="AA148" i="3" s="1"/>
  <c r="Z149" i="3"/>
  <c r="AA149" i="3"/>
  <c r="Z150" i="3"/>
  <c r="AA150" i="3"/>
  <c r="Z151" i="3"/>
  <c r="AA151" i="3"/>
  <c r="Z152" i="3"/>
  <c r="AA152" i="3" s="1"/>
  <c r="Z153" i="3"/>
  <c r="AA153" i="3" s="1"/>
  <c r="Z154" i="3"/>
  <c r="AA154" i="3" s="1"/>
  <c r="Z155" i="3"/>
  <c r="AA155" i="3"/>
  <c r="Z156" i="3"/>
  <c r="AA156" i="3" s="1"/>
  <c r="Z157" i="3"/>
  <c r="AA157" i="3"/>
  <c r="H160" i="4"/>
  <c r="I160" i="4"/>
  <c r="J160" i="4"/>
  <c r="K160" i="4"/>
  <c r="D9" i="10" s="1"/>
  <c r="L160" i="4"/>
  <c r="E9" i="10" s="1"/>
  <c r="M160" i="4"/>
  <c r="F9" i="10" s="1"/>
  <c r="N160" i="4"/>
  <c r="G9" i="10" s="1"/>
  <c r="O160" i="4"/>
  <c r="P160" i="4"/>
  <c r="Q160" i="4"/>
  <c r="R160" i="4"/>
  <c r="S160" i="4"/>
  <c r="G9" i="12" s="1"/>
  <c r="T160" i="4"/>
  <c r="C9" i="13" s="1"/>
  <c r="U160" i="4"/>
  <c r="D9" i="13" s="1"/>
  <c r="V160" i="4"/>
  <c r="E9" i="13" s="1"/>
  <c r="W160" i="4"/>
  <c r="F9" i="13" s="1"/>
  <c r="X160" i="4"/>
  <c r="G9" i="13" s="1"/>
  <c r="Y160" i="4"/>
  <c r="C9" i="15" s="1"/>
  <c r="H9" i="15" s="1"/>
  <c r="J9" i="15" s="1"/>
  <c r="Z10" i="4"/>
  <c r="AA10" i="4" s="1"/>
  <c r="Z11" i="4"/>
  <c r="AA11" i="4" s="1"/>
  <c r="Z12" i="4"/>
  <c r="AA12" i="4" s="1"/>
  <c r="Z13" i="4"/>
  <c r="AA13" i="4" s="1"/>
  <c r="Z14" i="4"/>
  <c r="AA14" i="4" s="1"/>
  <c r="Z15" i="4"/>
  <c r="AA15" i="4"/>
  <c r="Z16" i="4"/>
  <c r="AA16" i="4" s="1"/>
  <c r="Z17" i="4"/>
  <c r="AA17" i="4" s="1"/>
  <c r="Z18" i="4"/>
  <c r="AA18" i="4" s="1"/>
  <c r="Z19" i="4"/>
  <c r="AA19" i="4" s="1"/>
  <c r="Z20" i="4"/>
  <c r="AA20" i="4" s="1"/>
  <c r="Z21" i="4"/>
  <c r="AA21" i="4" s="1"/>
  <c r="Z22" i="4"/>
  <c r="AA22" i="4" s="1"/>
  <c r="Z23" i="4"/>
  <c r="AA23" i="4" s="1"/>
  <c r="Z24" i="4"/>
  <c r="AA24" i="4" s="1"/>
  <c r="Z25" i="4"/>
  <c r="AA25" i="4" s="1"/>
  <c r="Z26" i="4"/>
  <c r="AA26" i="4" s="1"/>
  <c r="Z27" i="4"/>
  <c r="AA27" i="4"/>
  <c r="Z28" i="4"/>
  <c r="AA28" i="4" s="1"/>
  <c r="Z29" i="4"/>
  <c r="AA29" i="4" s="1"/>
  <c r="Z30" i="4"/>
  <c r="AA30" i="4" s="1"/>
  <c r="Z31" i="4"/>
  <c r="AA31" i="4" s="1"/>
  <c r="Z32" i="4"/>
  <c r="AA32" i="4"/>
  <c r="Z33" i="4"/>
  <c r="AA33" i="4" s="1"/>
  <c r="Z34" i="4"/>
  <c r="AA34" i="4" s="1"/>
  <c r="Z35" i="4"/>
  <c r="AA35" i="4" s="1"/>
  <c r="Z36" i="4"/>
  <c r="AA36" i="4" s="1"/>
  <c r="Z37" i="4"/>
  <c r="AA37" i="4" s="1"/>
  <c r="Z38" i="4"/>
  <c r="AA38" i="4" s="1"/>
  <c r="Z39" i="4"/>
  <c r="AA39" i="4" s="1"/>
  <c r="Z40" i="4"/>
  <c r="AA40" i="4" s="1"/>
  <c r="Z41" i="4"/>
  <c r="AA41" i="4" s="1"/>
  <c r="Z42" i="4"/>
  <c r="AA42" i="4" s="1"/>
  <c r="Z43" i="4"/>
  <c r="AA43" i="4" s="1"/>
  <c r="Z44" i="4"/>
  <c r="AA44" i="4" s="1"/>
  <c r="Z45" i="4"/>
  <c r="AA45" i="4" s="1"/>
  <c r="Z46" i="4"/>
  <c r="AA46" i="4" s="1"/>
  <c r="Z47" i="4"/>
  <c r="AA47" i="4" s="1"/>
  <c r="Z48" i="4"/>
  <c r="AA48" i="4" s="1"/>
  <c r="Z49" i="4"/>
  <c r="AA49" i="4" s="1"/>
  <c r="Z50" i="4"/>
  <c r="AA50" i="4" s="1"/>
  <c r="Z51" i="4"/>
  <c r="AA51" i="4" s="1"/>
  <c r="Z52" i="4"/>
  <c r="AA52" i="4" s="1"/>
  <c r="Z53" i="4"/>
  <c r="AA53" i="4" s="1"/>
  <c r="Z54" i="4"/>
  <c r="AA54" i="4" s="1"/>
  <c r="Z55" i="4"/>
  <c r="AA55" i="4"/>
  <c r="Z56" i="4"/>
  <c r="AA56" i="4" s="1"/>
  <c r="Z57" i="4"/>
  <c r="AA57" i="4" s="1"/>
  <c r="Z58" i="4"/>
  <c r="AA58" i="4"/>
  <c r="Z59" i="4"/>
  <c r="AA59" i="4"/>
  <c r="Z60" i="4"/>
  <c r="AA60" i="4"/>
  <c r="Z61" i="4"/>
  <c r="AA61" i="4" s="1"/>
  <c r="Z62" i="4"/>
  <c r="AA62" i="4" s="1"/>
  <c r="Z63" i="4"/>
  <c r="AA63" i="4" s="1"/>
  <c r="Z64" i="4"/>
  <c r="AA64" i="4" s="1"/>
  <c r="Z65" i="4"/>
  <c r="AA65" i="4"/>
  <c r="Z66" i="4"/>
  <c r="AA66" i="4" s="1"/>
  <c r="Z67" i="4"/>
  <c r="AA67" i="4" s="1"/>
  <c r="Z68" i="4"/>
  <c r="AA68" i="4" s="1"/>
  <c r="Z69" i="4"/>
  <c r="AA69" i="4" s="1"/>
  <c r="Z70" i="4"/>
  <c r="AA70" i="4" s="1"/>
  <c r="Z71" i="4"/>
  <c r="AA71" i="4" s="1"/>
  <c r="Z72" i="4"/>
  <c r="AA72" i="4" s="1"/>
  <c r="Z73" i="4"/>
  <c r="AA73" i="4" s="1"/>
  <c r="Z74" i="4"/>
  <c r="AA74" i="4" s="1"/>
  <c r="Z75" i="4"/>
  <c r="AA75" i="4" s="1"/>
  <c r="Z76" i="4"/>
  <c r="AA76" i="4" s="1"/>
  <c r="Z77" i="4"/>
  <c r="AA77" i="4" s="1"/>
  <c r="Z78" i="4"/>
  <c r="AA78" i="4" s="1"/>
  <c r="Z79" i="4"/>
  <c r="AA79" i="4" s="1"/>
  <c r="Z80" i="4"/>
  <c r="AA80" i="4" s="1"/>
  <c r="Z81" i="4"/>
  <c r="AA81" i="4" s="1"/>
  <c r="Z82" i="4"/>
  <c r="AA82" i="4" s="1"/>
  <c r="Z83" i="4"/>
  <c r="AA83" i="4" s="1"/>
  <c r="Z84" i="4"/>
  <c r="AA84" i="4" s="1"/>
  <c r="Z85" i="4"/>
  <c r="AA85" i="4" s="1"/>
  <c r="Z86" i="4"/>
  <c r="AA86" i="4" s="1"/>
  <c r="Z87" i="4"/>
  <c r="AA87" i="4" s="1"/>
  <c r="Z88" i="4"/>
  <c r="AA88" i="4" s="1"/>
  <c r="Z89" i="4"/>
  <c r="AA89" i="4" s="1"/>
  <c r="Z90" i="4"/>
  <c r="AA90" i="4" s="1"/>
  <c r="Z91" i="4"/>
  <c r="AA91" i="4"/>
  <c r="Z92" i="4"/>
  <c r="AA92" i="4" s="1"/>
  <c r="Z93" i="4"/>
  <c r="AA93" i="4" s="1"/>
  <c r="Z94" i="4"/>
  <c r="AA94" i="4" s="1"/>
  <c r="Z95" i="4"/>
  <c r="AA95" i="4"/>
  <c r="Z96" i="4"/>
  <c r="AA96" i="4" s="1"/>
  <c r="Z97" i="4"/>
  <c r="AA97" i="4" s="1"/>
  <c r="Z98" i="4"/>
  <c r="AA98" i="4" s="1"/>
  <c r="Z99" i="4"/>
  <c r="AA99" i="4" s="1"/>
  <c r="Z100" i="4"/>
  <c r="AA100" i="4"/>
  <c r="Z101" i="4"/>
  <c r="AA101" i="4" s="1"/>
  <c r="Z102" i="4"/>
  <c r="AA102" i="4" s="1"/>
  <c r="Z103" i="4"/>
  <c r="AA103" i="4" s="1"/>
  <c r="Z104" i="4"/>
  <c r="AA104" i="4"/>
  <c r="Z105" i="4"/>
  <c r="AA105" i="4" s="1"/>
  <c r="Z106" i="4"/>
  <c r="AA106" i="4" s="1"/>
  <c r="Z107" i="4"/>
  <c r="AA107" i="4" s="1"/>
  <c r="Z108" i="4"/>
  <c r="AA108" i="4" s="1"/>
  <c r="Z109" i="4"/>
  <c r="AA109" i="4" s="1"/>
  <c r="Z110" i="4"/>
  <c r="AA110" i="4" s="1"/>
  <c r="Z111" i="4"/>
  <c r="AA111" i="4" s="1"/>
  <c r="Z112" i="4"/>
  <c r="AA112" i="4" s="1"/>
  <c r="Z113" i="4"/>
  <c r="AA113" i="4" s="1"/>
  <c r="Z114" i="4"/>
  <c r="AA114" i="4" s="1"/>
  <c r="Z115" i="4"/>
  <c r="AA115" i="4" s="1"/>
  <c r="Z116" i="4"/>
  <c r="AA116" i="4" s="1"/>
  <c r="Z117" i="4"/>
  <c r="AA117" i="4" s="1"/>
  <c r="Z118" i="4"/>
  <c r="AA118" i="4"/>
  <c r="Z119" i="4"/>
  <c r="AA119" i="4" s="1"/>
  <c r="Z120" i="4"/>
  <c r="AA120" i="4" s="1"/>
  <c r="Z121" i="4"/>
  <c r="AA121" i="4" s="1"/>
  <c r="Z122" i="4"/>
  <c r="AA122" i="4"/>
  <c r="Z123" i="4"/>
  <c r="AA123" i="4" s="1"/>
  <c r="Z124" i="4"/>
  <c r="AA124" i="4" s="1"/>
  <c r="Z125" i="4"/>
  <c r="AA125" i="4" s="1"/>
  <c r="Z126" i="4"/>
  <c r="AA126" i="4" s="1"/>
  <c r="Z127" i="4"/>
  <c r="AA127" i="4" s="1"/>
  <c r="Z128" i="4"/>
  <c r="AA128" i="4" s="1"/>
  <c r="Z129" i="4"/>
  <c r="AA129" i="4" s="1"/>
  <c r="Z130" i="4"/>
  <c r="AA130" i="4" s="1"/>
  <c r="Z131" i="4"/>
  <c r="AA131" i="4" s="1"/>
  <c r="Z132" i="4"/>
  <c r="AA132" i="4" s="1"/>
  <c r="Z133" i="4"/>
  <c r="AA133" i="4" s="1"/>
  <c r="Z134" i="4"/>
  <c r="AA134" i="4" s="1"/>
  <c r="Z135" i="4"/>
  <c r="AA135" i="4" s="1"/>
  <c r="Z136" i="4"/>
  <c r="AA136" i="4" s="1"/>
  <c r="Z137" i="4"/>
  <c r="AA137" i="4" s="1"/>
  <c r="Z138" i="4"/>
  <c r="AA138" i="4" s="1"/>
  <c r="Z139" i="4"/>
  <c r="AA139" i="4" s="1"/>
  <c r="Z140" i="4"/>
  <c r="AA140" i="4"/>
  <c r="Z141" i="4"/>
  <c r="AA141" i="4" s="1"/>
  <c r="Z142" i="4"/>
  <c r="AA142" i="4" s="1"/>
  <c r="Z143" i="4"/>
  <c r="AA143" i="4" s="1"/>
  <c r="Z144" i="4"/>
  <c r="AA144" i="4" s="1"/>
  <c r="Z145" i="4"/>
  <c r="AA145" i="4" s="1"/>
  <c r="Z146" i="4"/>
  <c r="AA146" i="4" s="1"/>
  <c r="Z147" i="4"/>
  <c r="AA147" i="4" s="1"/>
  <c r="Z148" i="4"/>
  <c r="AA148" i="4"/>
  <c r="Z149" i="4"/>
  <c r="AA149" i="4" s="1"/>
  <c r="Z150" i="4"/>
  <c r="AA150" i="4" s="1"/>
  <c r="Z151" i="4"/>
  <c r="AA151" i="4" s="1"/>
  <c r="Z152" i="4"/>
  <c r="AA152" i="4"/>
  <c r="Z153" i="4"/>
  <c r="AA153" i="4"/>
  <c r="Z154" i="4"/>
  <c r="AA154" i="4"/>
  <c r="Z155" i="4"/>
  <c r="AA155" i="4"/>
  <c r="Z156" i="4"/>
  <c r="AA156" i="4"/>
  <c r="Z157" i="4"/>
  <c r="AA157" i="4"/>
  <c r="Z158" i="4"/>
  <c r="AA158" i="4"/>
  <c r="Z159" i="4"/>
  <c r="AA159" i="4"/>
  <c r="H95" i="2"/>
  <c r="I95" i="2"/>
  <c r="J95" i="2"/>
  <c r="K95" i="2"/>
  <c r="L95" i="2"/>
  <c r="M95" i="2"/>
  <c r="F7" i="10" s="1"/>
  <c r="N95" i="2"/>
  <c r="G7" i="10" s="1"/>
  <c r="O95" i="2"/>
  <c r="P95" i="2"/>
  <c r="Q95" i="2"/>
  <c r="R95" i="2"/>
  <c r="S95" i="2"/>
  <c r="G7" i="12" s="1"/>
  <c r="T95" i="2"/>
  <c r="C7" i="13" s="1"/>
  <c r="U95" i="2"/>
  <c r="D7" i="13" s="1"/>
  <c r="V95" i="2"/>
  <c r="E7" i="13" s="1"/>
  <c r="W95" i="2"/>
  <c r="F7" i="13" s="1"/>
  <c r="X95" i="2"/>
  <c r="Y95" i="2"/>
  <c r="C7" i="15" s="1"/>
  <c r="H7" i="15" s="1"/>
  <c r="H10" i="12" l="1"/>
  <c r="H8" i="13"/>
  <c r="J8" i="13" s="1"/>
  <c r="H9" i="13"/>
  <c r="J9" i="13" s="1"/>
  <c r="H10" i="13"/>
  <c r="J10" i="13" s="1"/>
  <c r="H11" i="15"/>
  <c r="J11" i="15" s="1"/>
  <c r="C12" i="15"/>
  <c r="H11" i="13"/>
  <c r="J11" i="13" s="1"/>
  <c r="H11" i="12"/>
  <c r="J7" i="15"/>
  <c r="J10" i="15"/>
  <c r="G11" i="8"/>
  <c r="F11" i="8"/>
  <c r="G10" i="8"/>
  <c r="F10" i="8"/>
  <c r="G9" i="8"/>
  <c r="F9" i="8"/>
  <c r="G8" i="8"/>
  <c r="F8" i="8"/>
  <c r="G7" i="8"/>
  <c r="F7" i="8"/>
  <c r="Z10" i="3"/>
  <c r="AA10" i="3" s="1"/>
  <c r="G160" i="4"/>
  <c r="C9" i="9" s="1"/>
  <c r="D9" i="9"/>
  <c r="E9" i="9"/>
  <c r="Z94" i="2"/>
  <c r="AA94" i="2" s="1"/>
  <c r="Z10" i="2"/>
  <c r="AA10" i="2" s="1"/>
  <c r="Z11" i="2"/>
  <c r="AA11" i="2" s="1"/>
  <c r="Z12" i="2"/>
  <c r="AA12" i="2" s="1"/>
  <c r="Z13" i="2"/>
  <c r="AA13" i="2" s="1"/>
  <c r="Z14" i="2"/>
  <c r="AA14" i="2" s="1"/>
  <c r="Z16" i="2"/>
  <c r="AA16" i="2" s="1"/>
  <c r="Z17" i="2"/>
  <c r="AA17" i="2" s="1"/>
  <c r="Z18" i="2"/>
  <c r="AA18" i="2" s="1"/>
  <c r="Z19" i="2"/>
  <c r="AA19" i="2" s="1"/>
  <c r="Z20" i="2"/>
  <c r="AA20" i="2" s="1"/>
  <c r="Z21" i="2"/>
  <c r="AA21" i="2" s="1"/>
  <c r="Z22" i="2"/>
  <c r="AA22" i="2" s="1"/>
  <c r="Z23" i="2"/>
  <c r="AA23" i="2" s="1"/>
  <c r="Z24" i="2"/>
  <c r="AA24" i="2" s="1"/>
  <c r="Z25" i="2"/>
  <c r="AA25" i="2" s="1"/>
  <c r="Z26" i="2"/>
  <c r="AA26" i="2" s="1"/>
  <c r="Z27" i="2"/>
  <c r="AA27" i="2" s="1"/>
  <c r="Z28" i="2"/>
  <c r="AA28" i="2" s="1"/>
  <c r="Z29" i="2"/>
  <c r="AA29" i="2" s="1"/>
  <c r="Z30" i="2"/>
  <c r="AA30" i="2" s="1"/>
  <c r="Z31" i="2"/>
  <c r="AA31" i="2" s="1"/>
  <c r="Z33" i="2"/>
  <c r="AA33" i="2" s="1"/>
  <c r="Z34" i="2"/>
  <c r="AA34" i="2" s="1"/>
  <c r="Z35" i="2"/>
  <c r="AA35" i="2" s="1"/>
  <c r="Z36" i="2"/>
  <c r="AA36" i="2" s="1"/>
  <c r="Z37" i="2"/>
  <c r="AA37" i="2" s="1"/>
  <c r="Z38" i="2"/>
  <c r="AA38" i="2" s="1"/>
  <c r="Z39" i="2"/>
  <c r="AA39" i="2" s="1"/>
  <c r="Z40" i="2"/>
  <c r="AA40" i="2" s="1"/>
  <c r="Z41" i="2"/>
  <c r="AA41" i="2" s="1"/>
  <c r="Z42" i="2"/>
  <c r="AA42" i="2" s="1"/>
  <c r="Z43" i="2"/>
  <c r="AA43" i="2" s="1"/>
  <c r="Z44" i="2"/>
  <c r="AA44" i="2" s="1"/>
  <c r="Z45" i="2"/>
  <c r="AA45" i="2" s="1"/>
  <c r="Z46" i="2"/>
  <c r="AA46" i="2" s="1"/>
  <c r="Z47" i="2"/>
  <c r="AA47" i="2" s="1"/>
  <c r="Z48" i="2"/>
  <c r="AA48" i="2" s="1"/>
  <c r="Z49" i="2"/>
  <c r="AA49" i="2" s="1"/>
  <c r="Z50" i="2"/>
  <c r="AA50" i="2" s="1"/>
  <c r="Z51" i="2"/>
  <c r="AA51" i="2" s="1"/>
  <c r="Z52" i="2"/>
  <c r="AA52" i="2" s="1"/>
  <c r="Z53" i="2"/>
  <c r="AA53" i="2" s="1"/>
  <c r="Z54" i="2"/>
  <c r="AA54" i="2" s="1"/>
  <c r="Z55" i="2"/>
  <c r="AA55" i="2" s="1"/>
  <c r="Z56" i="2"/>
  <c r="AA56" i="2" s="1"/>
  <c r="Z57" i="2"/>
  <c r="AA57" i="2" s="1"/>
  <c r="Z58" i="2"/>
  <c r="AA58" i="2" s="1"/>
  <c r="Z59" i="2"/>
  <c r="AA59" i="2" s="1"/>
  <c r="Z60" i="2"/>
  <c r="AA60" i="2" s="1"/>
  <c r="Z61" i="2"/>
  <c r="AA61" i="2" s="1"/>
  <c r="Z62" i="2"/>
  <c r="AA62" i="2" s="1"/>
  <c r="Z63" i="2"/>
  <c r="AA63" i="2" s="1"/>
  <c r="Z64" i="2"/>
  <c r="AA64" i="2" s="1"/>
  <c r="Z65" i="2"/>
  <c r="AA65" i="2" s="1"/>
  <c r="Z66" i="2"/>
  <c r="AA66" i="2" s="1"/>
  <c r="Z67" i="2"/>
  <c r="AA67" i="2" s="1"/>
  <c r="Z68" i="2"/>
  <c r="AA68" i="2" s="1"/>
  <c r="Z69" i="2"/>
  <c r="AA69" i="2" s="1"/>
  <c r="Z70" i="2"/>
  <c r="AA70" i="2" s="1"/>
  <c r="Z71" i="2"/>
  <c r="AA71" i="2" s="1"/>
  <c r="Z72" i="2"/>
  <c r="AA72" i="2" s="1"/>
  <c r="Z73" i="2"/>
  <c r="AA73" i="2" s="1"/>
  <c r="Z74" i="2"/>
  <c r="AA74" i="2" s="1"/>
  <c r="Z75" i="2"/>
  <c r="AA75" i="2" s="1"/>
  <c r="Z76" i="2"/>
  <c r="AA76" i="2" s="1"/>
  <c r="Z77" i="2"/>
  <c r="AA77" i="2" s="1"/>
  <c r="Z78" i="2"/>
  <c r="AA78" i="2" s="1"/>
  <c r="Z79" i="2"/>
  <c r="AA79" i="2"/>
  <c r="Z80" i="2"/>
  <c r="AA80" i="2" s="1"/>
  <c r="Z81" i="2"/>
  <c r="AA81" i="2" s="1"/>
  <c r="Z82" i="2"/>
  <c r="AA82" i="2" s="1"/>
  <c r="Z83" i="2"/>
  <c r="AA83" i="2" s="1"/>
  <c r="Z84" i="2"/>
  <c r="AA84" i="2" s="1"/>
  <c r="Z85" i="2"/>
  <c r="AA85" i="2" s="1"/>
  <c r="Z86" i="2"/>
  <c r="AA86" i="2" s="1"/>
  <c r="Z87" i="2"/>
  <c r="AA87" i="2" s="1"/>
  <c r="Z88" i="2"/>
  <c r="AA88" i="2" s="1"/>
  <c r="Z89" i="2"/>
  <c r="AA89" i="2" s="1"/>
  <c r="Z90" i="2"/>
  <c r="AA90" i="2" s="1"/>
  <c r="Z91" i="2"/>
  <c r="AA91" i="2" s="1"/>
  <c r="Z92" i="2"/>
  <c r="AA92" i="2" s="1"/>
  <c r="Z93" i="2"/>
  <c r="AA93" i="2" s="1"/>
  <c r="H9" i="9" l="1"/>
  <c r="J13" i="15"/>
  <c r="H12" i="15"/>
  <c r="H13" i="15" s="1"/>
  <c r="Z9" i="4"/>
  <c r="AA9" i="4" s="1"/>
  <c r="G12" i="13" l="1"/>
  <c r="F12" i="13"/>
  <c r="E12" i="13"/>
  <c r="G156" i="6"/>
  <c r="C11" i="9" s="1"/>
  <c r="D11" i="9"/>
  <c r="E11" i="9"/>
  <c r="Z9" i="6"/>
  <c r="Z9" i="5"/>
  <c r="G158" i="3"/>
  <c r="C8" i="9" s="1"/>
  <c r="D8" i="9"/>
  <c r="E8" i="9"/>
  <c r="C8" i="12"/>
  <c r="D8" i="12"/>
  <c r="E8" i="12"/>
  <c r="F8" i="12"/>
  <c r="Z9" i="3"/>
  <c r="C9" i="10"/>
  <c r="H9" i="10" s="1"/>
  <c r="C9" i="12"/>
  <c r="D9" i="12"/>
  <c r="E9" i="12"/>
  <c r="F9" i="12"/>
  <c r="G95" i="2"/>
  <c r="C7" i="9" s="1"/>
  <c r="D7" i="9"/>
  <c r="E7" i="9"/>
  <c r="E7" i="10"/>
  <c r="C7" i="12"/>
  <c r="D7" i="12"/>
  <c r="E7" i="12"/>
  <c r="F7" i="12"/>
  <c r="Z9" i="2"/>
  <c r="H7" i="12" l="1"/>
  <c r="H9" i="12"/>
  <c r="H8" i="12"/>
  <c r="H11" i="9"/>
  <c r="H8" i="9"/>
  <c r="C11" i="10"/>
  <c r="H11" i="10" s="1"/>
  <c r="C7" i="10"/>
  <c r="D7" i="10"/>
  <c r="C8" i="10"/>
  <c r="H8" i="10" s="1"/>
  <c r="H7" i="13"/>
  <c r="C12" i="13"/>
  <c r="D12" i="13"/>
  <c r="C12" i="12"/>
  <c r="H7" i="10" l="1"/>
  <c r="J7" i="10" s="1"/>
  <c r="H7" i="9"/>
  <c r="D12" i="10"/>
  <c r="J7" i="13"/>
  <c r="J13" i="13" s="1"/>
  <c r="H12" i="13"/>
  <c r="H13" i="13" s="1"/>
  <c r="E11" i="8"/>
  <c r="D11" i="8"/>
  <c r="C11" i="8"/>
  <c r="H11" i="8" s="1"/>
  <c r="G155" i="5"/>
  <c r="C10" i="9" s="1"/>
  <c r="D10" i="9"/>
  <c r="E10" i="9"/>
  <c r="E7" i="8"/>
  <c r="AA9" i="6"/>
  <c r="AA158" i="6" s="1"/>
  <c r="AA9" i="5"/>
  <c r="H10" i="9" l="1"/>
  <c r="C10" i="10"/>
  <c r="E10" i="8"/>
  <c r="D10" i="8"/>
  <c r="C10" i="8"/>
  <c r="H10" i="8" s="1"/>
  <c r="E8" i="8"/>
  <c r="D8" i="8"/>
  <c r="C8" i="8"/>
  <c r="H8" i="8" s="1"/>
  <c r="E9" i="8"/>
  <c r="D9" i="8"/>
  <c r="C9" i="8"/>
  <c r="H9" i="8" s="1"/>
  <c r="D7" i="8"/>
  <c r="C7" i="8"/>
  <c r="C12" i="10" l="1"/>
  <c r="H10" i="10"/>
  <c r="G12" i="12"/>
  <c r="D12" i="12"/>
  <c r="E12" i="12"/>
  <c r="F12" i="12"/>
  <c r="G12" i="10"/>
  <c r="E12" i="10"/>
  <c r="F12" i="10"/>
  <c r="G12" i="8"/>
  <c r="F12" i="8"/>
  <c r="E12" i="8"/>
  <c r="D12" i="8"/>
  <c r="Z157" i="6" l="1"/>
  <c r="Z156" i="5"/>
  <c r="AA9" i="3"/>
  <c r="AA160" i="3" s="1"/>
  <c r="Z159" i="3" l="1"/>
  <c r="J12" i="9"/>
  <c r="Z96" i="2" l="1"/>
  <c r="AA9" i="2"/>
  <c r="AA97" i="2" s="1"/>
  <c r="J10" i="8"/>
  <c r="J8" i="9"/>
  <c r="J9" i="8"/>
  <c r="J10" i="10"/>
  <c r="J10" i="9"/>
  <c r="J8" i="10"/>
  <c r="J8" i="8"/>
  <c r="J9" i="9"/>
  <c r="C12" i="9"/>
  <c r="J9" i="10"/>
  <c r="J7" i="9"/>
  <c r="H7" i="8"/>
  <c r="C12" i="8"/>
  <c r="J11" i="8"/>
  <c r="J11" i="9"/>
  <c r="J11" i="12"/>
  <c r="J9" i="12"/>
  <c r="AA157" i="5"/>
  <c r="Z161" i="4"/>
  <c r="AA162" i="4"/>
  <c r="D12" i="9"/>
  <c r="F12" i="9"/>
  <c r="G12" i="9"/>
  <c r="E12" i="9"/>
  <c r="J10" i="12" l="1"/>
  <c r="H13" i="12"/>
  <c r="H12" i="10"/>
  <c r="J8" i="12"/>
  <c r="J13" i="8"/>
  <c r="H12" i="8"/>
  <c r="H13" i="10"/>
  <c r="J11" i="10"/>
  <c r="J7" i="12"/>
  <c r="H13" i="8"/>
  <c r="H13" i="9"/>
  <c r="J13" i="9"/>
  <c r="J13" i="12" l="1"/>
  <c r="J1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Suárez C.</author>
    <author>Fernanda Suarez</author>
  </authors>
  <commentList>
    <comment ref="M9" authorId="0" shapeId="0" xr:uid="{669346FA-8BF2-F544-AF4E-D8A552FEAD1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J16" authorId="0" shapeId="0" xr:uid="{3B14D148-0C46-1F4B-B817-A66C064493D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J17" authorId="0" shapeId="0" xr:uid="{1F004D29-E6B4-EB4E-89F9-28A9D336125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R19" authorId="0" shapeId="0" xr:uid="{4FB89F87-874E-8D48-81A4-FE94F2367F7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T19" authorId="0" shapeId="0" xr:uid="{8FEF5EBE-4F4F-4B43-B1EA-3D036C0D823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32" authorId="0" shapeId="0" xr:uid="{D2790ED9-2E56-C044-81CE-34F90FBB772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DE POLLO</t>
        </r>
      </text>
    </comment>
    <comment ref="H35" authorId="1" shapeId="0" xr:uid="{FF19BC41-975F-1948-A687-FDF89D3C5FC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O35" authorId="0" shapeId="0" xr:uid="{9EBB8E0D-0B1A-7248-A2D5-1AD1EC159F2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S35" authorId="0" shapeId="0" xr:uid="{4DC35ADA-FC54-3F4D-BF27-ACCAD40BFE2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H36" authorId="1" shapeId="0" xr:uid="{E714A2CE-80D2-D543-8149-D353ABD011F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G39" authorId="1" shapeId="0" xr:uid="{DB712441-13B4-F64B-BA95-D6E626A3A23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J39" authorId="1" shapeId="0" xr:uid="{7A259485-83D0-AC44-AF9A-152786F369E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L39" authorId="1" shapeId="0" xr:uid="{7DFDD038-22E9-D345-9CD9-29F7CC8FB294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N39" authorId="1" shapeId="0" xr:uid="{5F738A12-57E7-D040-9337-FF07DD87F7C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de pollo</t>
        </r>
      </text>
    </comment>
    <comment ref="U39" authorId="0" shapeId="0" xr:uid="{9BEB1698-0523-CF49-96FF-8DF47411AC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V39" authorId="1" shapeId="0" xr:uid="{AF765FFA-B170-1C4E-854C-C285068148A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W39" authorId="1" shapeId="0" xr:uid="{DB6F7CB3-44C9-3A41-A8AD-950253DC4B2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 de pollo</t>
        </r>
      </text>
    </comment>
    <comment ref="X39" authorId="1" shapeId="0" xr:uid="{9E831313-BB4C-2649-999D-4FA4F8866B8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J42" authorId="0" shapeId="0" xr:uid="{C2DFCDDE-BA4E-1F45-A285-FDB7B1E8513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H48" authorId="1" shapeId="0" xr:uid="{BAD047C6-E71E-BB40-B3C2-3E2B012B46E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J48" authorId="0" shapeId="0" xr:uid="{E40FFBAB-A81C-D045-82F1-7972F31763F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M49" authorId="0" shapeId="0" xr:uid="{38ED2433-2E49-FD47-8001-C4811523ABC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N49" authorId="0" shapeId="0" xr:uid="{2D960D14-2307-514F-BAB9-2895B0768E7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bolognesa</t>
        </r>
      </text>
    </comment>
    <comment ref="W49" authorId="0" shapeId="0" xr:uid="{289C628B-2D56-D549-B073-1501F16FAB6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X49" authorId="0" shapeId="0" xr:uid="{62AA014B-D933-644F-949A-479E3BD696E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K56" authorId="0" shapeId="0" xr:uid="{AC4DF26C-BA81-F845-B2B1-193F2199EB9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G59" authorId="1" shapeId="0" xr:uid="{C7C46236-7046-044F-A224-D404EF0FE5E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J59" authorId="1" shapeId="0" xr:uid="{91A8A753-2BDC-CE47-82AB-102BBF58F22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N59" authorId="1" shapeId="0" xr:uid="{D51975AF-FC8D-2D4F-BC0D-6307AC0364B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 a la bolognesa</t>
        </r>
      </text>
    </comment>
    <comment ref="S59" authorId="1" shapeId="0" xr:uid="{66C406D0-4BEB-664F-B16E-0A5286F9A5E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bolognesa</t>
        </r>
      </text>
    </comment>
    <comment ref="K61" authorId="0" shapeId="0" xr:uid="{E381FE9F-19DD-2044-9964-ABA7FB6C7A9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servir sopa y papas fritas</t>
        </r>
      </text>
    </comment>
    <comment ref="M61" authorId="0" shapeId="0" xr:uid="{08933FA0-8C84-1F42-B8C5-73A94341D24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 snack</t>
        </r>
      </text>
    </comment>
    <comment ref="G67" authorId="1" shapeId="0" xr:uid="{715C3421-DD2E-4B44-A3AA-7472A985C3E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M74" authorId="0" shapeId="0" xr:uid="{2DE15713-DBD8-E24E-B54C-5AA8BA3170C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</t>
        </r>
      </text>
    </comment>
    <comment ref="J75" authorId="1" shapeId="0" xr:uid="{27AAC625-D06F-8E46-BD59-842B45D4B82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M75" authorId="1" shapeId="0" xr:uid="{2FB658B3-C758-4B4D-B8A4-F149B851965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R75" authorId="1" shapeId="0" xr:uid="{6EC90EC4-F3AC-0C4F-9621-F7E87B6F670E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S75" authorId="1" shapeId="0" xr:uid="{A8F5F180-84FC-2142-882B-3EB1EED5688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L77" authorId="0" shapeId="0" xr:uid="{22883FA3-BB4B-4747-A502-34B53AF2E29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J83" authorId="0" shapeId="0" xr:uid="{424FA500-9CCA-F44C-9359-C5529EE4CC5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O83" authorId="0" shapeId="0" xr:uid="{45B5E525-3222-5C44-A1D9-B39278E6737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J85" authorId="0" shapeId="0" xr:uid="{A025E35D-2B1A-8747-8FA5-2550228533A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Suarez</author>
    <author>Fernanda Suárez C.</author>
  </authors>
  <commentList>
    <comment ref="I10" authorId="0" shapeId="0" xr:uid="{D5F81AD3-A5BF-7B49-A921-E8CE7A6A6AE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J10" authorId="1" shapeId="0" xr:uid="{E2A6FC9B-6CEE-454C-A50B-5C7CB7FD35C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12" authorId="0" shapeId="0" xr:uid="{4F6094DC-B062-6C4F-BDA3-A3CF3CFE23AD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N12" authorId="1" shapeId="0" xr:uid="{24DD688C-7FF5-0B42-8C2D-7BA20D54767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paini con papitas</t>
        </r>
      </text>
    </comment>
    <comment ref="K13" authorId="1" shapeId="0" xr:uid="{8A74EDE3-5852-B145-9634-E8A55B1A5EF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pippocas</t>
        </r>
      </text>
    </comment>
    <comment ref="R13" authorId="1" shapeId="0" xr:uid="{AC3207F2-3240-F44D-AA7F-77BC016DD6F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K16" authorId="1" shapeId="0" xr:uid="{0D5C3034-6EF4-5A48-9302-6E7987A61CA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H17" authorId="0" shapeId="0" xr:uid="{BAF9F226-7C38-5940-B7DF-DA7F3F9646A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Q17" authorId="1" shapeId="0" xr:uid="{E1C57107-D546-8743-9FC3-74678D1197F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R17" authorId="1" shapeId="0" xr:uid="{05FE335B-4E9C-E843-BEDE-E08B9C9350E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X17" authorId="1" shapeId="0" xr:uid="{1CA853A1-1F87-1841-AC9C-BF5512BF6FB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H18" authorId="0" shapeId="0" xr:uid="{364055DD-E26C-1243-88CD-927CCC6B678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</t>
        </r>
      </text>
    </comment>
    <comment ref="I18" authorId="0" shapeId="0" xr:uid="{374E8C99-1F48-AE4A-8553-460CA902CA7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de pollo</t>
        </r>
      </text>
    </comment>
    <comment ref="M18" authorId="1" shapeId="0" xr:uid="{361B3491-0DB0-034A-8177-BFCF0F18C2D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</t>
        </r>
      </text>
    </comment>
    <comment ref="N18" authorId="1" shapeId="0" xr:uid="{64070CE3-F98A-BD4B-8B3E-5AEE648103C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R18" authorId="1" shapeId="0" xr:uid="{DE4915F3-9939-B34D-9F51-C097643EB6D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U18" authorId="1" shapeId="0" xr:uid="{A22CEF1B-BAF5-4A4C-AD90-67075B5935E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I22" authorId="0" shapeId="0" xr:uid="{2637327C-2DCF-6C4F-9430-8A85833E97A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L23" authorId="1" shapeId="0" xr:uid="{5D73B440-738C-DB4D-BEEF-CBAC9EE14D5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bolognesa</t>
        </r>
      </text>
    </comment>
    <comment ref="P24" authorId="1" shapeId="0" xr:uid="{68B224AF-4931-4C44-8804-1C06AAA155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tallarin con pollo </t>
        </r>
      </text>
    </comment>
    <comment ref="R24" authorId="1" shapeId="0" xr:uid="{7BE8CDA5-5B0A-F84B-BBC4-001314F0D97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 con arroz</t>
        </r>
      </text>
    </comment>
    <comment ref="U24" authorId="1" shapeId="0" xr:uid="{0E18937E-3B75-5A4A-886A-0B07ED9C771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 con pollo</t>
        </r>
      </text>
    </comment>
    <comment ref="N26" authorId="1" shapeId="0" xr:uid="{530A3445-A190-6E43-B532-9E120410C55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28" authorId="0" shapeId="0" xr:uid="{5014BC4F-55C3-7748-9284-D0EC7065489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28" authorId="1" shapeId="0" xr:uid="{515A283C-9884-D843-8CCC-2D8F272E4DB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H30" authorId="0" shapeId="0" xr:uid="{9EA1CC7C-F98F-5B4D-ABDA-3A558E66FB0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J30" authorId="1" shapeId="0" xr:uid="{9C8A34D8-6E84-9343-A17D-FB43ECB55D7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O34" authorId="1" shapeId="0" xr:uid="{D4F6198B-2345-4540-BD23-51DD0B09BB4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35" authorId="0" shapeId="0" xr:uid="{D6A8CBE9-C7F6-3C40-B642-B2F95A52E9D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de pollo</t>
        </r>
      </text>
    </comment>
    <comment ref="I36" authorId="0" shapeId="0" xr:uid="{C01CAA8C-03FD-7E4B-9DD0-A434E3C3BCA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P36" authorId="1" shapeId="0" xr:uid="{A7D5250C-102E-944D-BCCE-29FCD139367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G37" authorId="0" shapeId="0" xr:uid="{0440397D-D70B-2C40-AEE6-525970A2ADB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G39" authorId="0" shapeId="0" xr:uid="{98E59CA2-CDF8-834A-884A-17D58F740D3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</t>
        </r>
      </text>
    </comment>
    <comment ref="Q41" authorId="1" shapeId="0" xr:uid="{C480EBF7-7865-D24D-AD87-26692FA1169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S41" authorId="1" shapeId="0" xr:uid="{39B05616-89CC-9044-AAB3-BD5FC8C47DC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PIZZA DE JAMON Y QUESO</t>
        </r>
      </text>
    </comment>
    <comment ref="L42" authorId="1" shapeId="0" xr:uid="{A5FD89E4-01C1-274E-AB44-D4889A3F747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N42" authorId="1" shapeId="0" xr:uid="{D1CD8BEC-0014-6A40-A91F-BDB2611FD3E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I44" authorId="0" shapeId="0" xr:uid="{FA43611E-C30F-274E-A608-D42B301F752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J44" authorId="1" shapeId="0" xr:uid="{05F39D3F-9AE3-1A44-A96D-F9B7C76759B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K44" authorId="1" shapeId="0" xr:uid="{A43F1A52-E651-894D-AB08-E8113E2A104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N44" authorId="1" shapeId="0" xr:uid="{CF48ED28-4E1B-ED47-8DE7-67CCE06EFF8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47" authorId="0" shapeId="0" xr:uid="{9AC6FE93-457D-4840-B6CA-7BC4129C868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J47" authorId="1" shapeId="0" xr:uid="{1F1126FC-602A-E949-8831-5E4D9191C52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K47" authorId="1" shapeId="0" xr:uid="{EDDAAB49-4B37-DE44-8657-B096DBC7C70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P47" authorId="1" shapeId="0" xr:uid="{F66CC185-ED78-BC4C-8370-1BD8B967132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48" authorId="1" shapeId="0" xr:uid="{7FE1EA96-B500-B04B-96BD-E70D066C983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N48" authorId="1" shapeId="0" xr:uid="{9EBACBF7-E2CB-D448-8425-D0FB65932AF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P48" authorId="1" shapeId="0" xr:uid="{252D7CDA-5411-0645-9424-EB2CAF0EF4A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48" authorId="1" shapeId="0" xr:uid="{AEF38778-6DD0-0546-9033-A020D61EED6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 salad</t>
        </r>
      </text>
    </comment>
    <comment ref="R48" authorId="1" shapeId="0" xr:uid="{F496FCD2-41C3-B041-BC98-0814818AE7A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V48" authorId="1" shapeId="0" xr:uid="{8C68148F-13D9-E44E-845F-11970F37207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L50" authorId="1" shapeId="0" xr:uid="{F9F7440E-20C3-6D4B-B026-8209D2C2FB1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M50" authorId="1" shapeId="0" xr:uid="{73BA4FED-BFAE-E647-A352-1B93A893458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N50" authorId="1" shapeId="0" xr:uid="{6FCFFACE-D0B4-194D-BB00-79A25012C6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P50" authorId="1" shapeId="0" xr:uid="{8522944E-0E07-3B4D-900A-6F065C4CF64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50" authorId="1" shapeId="0" xr:uid="{D0DEC6DA-F73E-E941-9980-954E2F41770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panino con papas</t>
        </r>
      </text>
    </comment>
    <comment ref="P53" authorId="1" shapeId="0" xr:uid="{D3AE5D83-98BB-4541-9F05-61359811396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H54" authorId="0" shapeId="0" xr:uid="{5B1AB41C-E6F0-644B-9489-F167248B6CB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bien corcido</t>
        </r>
      </text>
    </comment>
    <comment ref="N56" authorId="1" shapeId="0" xr:uid="{9D5685D5-7BC4-FB46-9C6A-AC45B277B7A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P56" authorId="1" shapeId="0" xr:uid="{67664122-9E42-4D43-A084-44BF61570BA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Q56" authorId="1" shapeId="0" xr:uid="{AAF68B7F-7A04-6749-8688-E59A1D448D3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R56" authorId="1" shapeId="0" xr:uid="{AEC532D9-BADE-714C-A439-E08A4F5E64F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bife </t>
        </r>
      </text>
    </comment>
    <comment ref="U56" authorId="1" shapeId="0" xr:uid="{E36840E5-8841-5B42-9F5D-78B3D25B04A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X56" authorId="1" shapeId="0" xr:uid="{1B0F9F8A-0AF8-EC41-91C4-442B7EC45C7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I62" authorId="0" shapeId="0" xr:uid="{77B817EB-E27F-B444-B2D9-3B5666A26CD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N62" authorId="1" shapeId="0" xr:uid="{F449E9EA-A5AD-D449-BE1E-F3C562732C8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P67" authorId="1" shapeId="0" xr:uid="{B1702894-DD18-8144-905B-8F9F65C9316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70" authorId="1" shapeId="0" xr:uid="{977ED97C-39D3-7E44-A8C5-CADEDFD55A1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G71" authorId="0" shapeId="0" xr:uid="{31372A8A-44D1-124C-ACA3-5A7629C41F6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bolognesa</t>
        </r>
      </text>
    </comment>
    <comment ref="J71" authorId="1" shapeId="0" xr:uid="{C725D980-6F97-ED4D-A365-B2349BAD1BC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PANINI </t>
        </r>
      </text>
    </comment>
    <comment ref="L71" authorId="1" shapeId="0" xr:uid="{3ED36B1E-AE73-9348-8FC2-2C5DFDCE3F4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J73" authorId="1" shapeId="0" xr:uid="{D2AD3DAB-69D4-264F-8B6E-322CAC035F0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U73" authorId="1" shapeId="0" xr:uid="{BAE40FBB-F289-A646-AC5F-AFE24294530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I76" authorId="0" shapeId="0" xr:uid="{01016B51-8FB4-FC49-ABD4-EFBD5FC917C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bife </t>
        </r>
      </text>
    </comment>
    <comment ref="K76" authorId="1" shapeId="0" xr:uid="{BB2C3BFF-27C6-FF4F-92D3-1BCF783F48A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Q76" authorId="1" shapeId="0" xr:uid="{D5054BC3-B9B9-4D41-AD43-0A8C58133D3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R76" authorId="1" shapeId="0" xr:uid="{851ABB5F-401C-8B4D-84F7-8DA2D3D8A31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W76" authorId="1" shapeId="0" xr:uid="{9B100347-5C5C-3E44-86E7-713253B1B6D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I77" authorId="0" shapeId="0" xr:uid="{90B31EF4-BA8F-4F40-BE19-C9CAD9491A9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N77" authorId="1" shapeId="0" xr:uid="{92C59BB4-D394-B741-B2D6-41ACE741671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 con arroz</t>
        </r>
      </text>
    </comment>
    <comment ref="Q77" authorId="1" shapeId="0" xr:uid="{C60D24D2-252D-1847-B836-5F50CB14B0B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V77" authorId="1" shapeId="0" xr:uid="{4C669E6C-8163-E64B-8C47-286D9E7928B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V78" authorId="1" shapeId="0" xr:uid="{47C07E43-AE78-8843-939D-B9A53E394EC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I80" authorId="0" shapeId="0" xr:uid="{4A55F0B4-92DC-DA4E-8F8D-9D1A15B647D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mantequilla sin pollo</t>
        </r>
      </text>
    </comment>
    <comment ref="I83" authorId="0" shapeId="0" xr:uid="{2F532156-B262-DE40-B404-E56BED5CD12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M83" authorId="1" shapeId="0" xr:uid="{AE278E93-3977-1049-9D31-EB8C728F5C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M86" authorId="1" shapeId="0" xr:uid="{60790ADD-FFB7-1141-92F9-D05BD880D7B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88" authorId="1" shapeId="0" xr:uid="{8DB391D2-130E-CB40-B6CE-5092D40273A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I101" authorId="0" shapeId="0" xr:uid="{326D9249-250E-F749-9744-32AFB897903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 sin queso solo pollo y huevo frito</t>
        </r>
      </text>
    </comment>
    <comment ref="G103" authorId="0" shapeId="0" xr:uid="{2D06F2D2-E17A-7340-A23D-4D1B5B2F291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H103" authorId="0" shapeId="0" xr:uid="{09AA58BC-9634-E442-BB40-1A8D6F0AB1C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103" authorId="0" shapeId="0" xr:uid="{AC0EF9BA-E7A2-0949-8035-67A8C45A72F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mexicana</t>
        </r>
      </text>
    </comment>
    <comment ref="M103" authorId="1" shapeId="0" xr:uid="{4CCDDE7C-F6E2-4D4B-ABAD-0BF35150265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</t>
        </r>
      </text>
    </comment>
    <comment ref="N103" authorId="1" shapeId="0" xr:uid="{18DA5B0A-C91D-B34E-B6D8-F617AD288C9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P103" authorId="1" shapeId="0" xr:uid="{9B21DF87-1EE9-554C-A2C6-82D0016A128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R103" authorId="1" shapeId="0" xr:uid="{AD2A3F0C-DDFE-EC4A-B97E-D5AF632D1FA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U103" authorId="1" shapeId="0" xr:uid="{DF969EF4-A82F-3843-A653-0BB0A589230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bowl tex mex</t>
        </r>
      </text>
    </comment>
    <comment ref="K106" authorId="1" shapeId="0" xr:uid="{62E32B50-8511-5741-9D66-9DF190B2E9A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106" authorId="1" shapeId="0" xr:uid="{19E4CBFA-1BE6-0445-B6DD-BFD91D3C10A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106" authorId="1" shapeId="0" xr:uid="{F4395F6F-28BC-2745-85CD-D0ED55C5981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R110" authorId="1" shapeId="0" xr:uid="{FAEFF842-61E6-9949-8716-C14C4EBD183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Y110" authorId="1" shapeId="0" xr:uid="{900E6FDF-A7DF-D049-89F8-9CC971B513FE}">
      <text>
        <r>
          <rPr>
            <b/>
            <sz val="10"/>
            <color rgb="FF000000"/>
            <rFont val="Tahoma"/>
            <family val="2"/>
          </rPr>
          <t>Fernanda Suárez C.:salchipapa</t>
        </r>
      </text>
    </comment>
    <comment ref="V111" authorId="1" shapeId="0" xr:uid="{05CCB4A5-62B2-654A-8C3B-B759B536D36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I112" authorId="0" shapeId="0" xr:uid="{C324A25F-DC39-4E4B-92C4-1CA60F19FBC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L112" authorId="1" shapeId="0" xr:uid="{DC75D8A4-02EB-7B4E-8673-08D34D49696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K113" authorId="1" shapeId="0" xr:uid="{AB80DFF0-F415-C841-8E5C-2C90811CB4B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N113" authorId="1" shapeId="0" xr:uid="{34992D1B-7104-EA4D-83CD-174DE60CD28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Q113" authorId="1" shapeId="0" xr:uid="{69C83C9A-8468-5A40-966C-0A8E9E6F3EC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V113" authorId="1" shapeId="0" xr:uid="{D77B2C31-5884-4B46-8619-EBA506FCE07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Y113" authorId="1" shapeId="0" xr:uid="{4DA88072-17C8-7543-BD68-E3119DEB08B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 con arroz</t>
        </r>
      </text>
    </comment>
    <comment ref="N116" authorId="1" shapeId="0" xr:uid="{C39E8C0D-C4D5-FA44-8682-C12EB0814EA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L126" authorId="1" shapeId="0" xr:uid="{6BEF76F9-D47D-C448-B84C-C1AC4CE37FA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N126" authorId="1" shapeId="0" xr:uid="{1C60D527-C6CF-E449-807C-9E96583BC62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127" authorId="0" shapeId="0" xr:uid="{19DFC14D-8DF9-2F47-9C75-1586727F84E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mexicana</t>
        </r>
      </text>
    </comment>
    <comment ref="N127" authorId="1" shapeId="0" xr:uid="{8CDA7FF5-5088-1441-9DF2-75F16A4642F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</t>
        </r>
      </text>
    </comment>
    <comment ref="P127" authorId="1" shapeId="0" xr:uid="{60BFB655-C84C-E744-9D81-528E60F56EA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</t>
        </r>
      </text>
    </comment>
    <comment ref="Q127" authorId="1" shapeId="0" xr:uid="{E5AE1B71-B552-BC4C-A6F3-1D73782A505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J128" authorId="1" shapeId="0" xr:uid="{9F66BEA4-1419-4940-8493-1AF75CAB03D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K130" authorId="1" shapeId="0" xr:uid="{82D60D18-6F91-1045-9578-10DAF3F24E2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K132" authorId="1" shapeId="0" xr:uid="{00E4221F-97EF-C145-A4E0-ACEE4932F2B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N132" authorId="1" shapeId="0" xr:uid="{1430F4DC-A2F3-1E40-BD7E-11896CE6526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nchos</t>
        </r>
      </text>
    </comment>
    <comment ref="Q132" authorId="1" shapeId="0" xr:uid="{CB41C6FA-AD3F-8E40-93CD-EF4327960E9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G133" authorId="0" shapeId="0" xr:uid="{F978AF46-D3A4-EF48-815E-3965246E43D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N135" authorId="1" shapeId="0" xr:uid="{E4565E8E-0626-F841-992E-B8611522017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136" authorId="1" shapeId="0" xr:uid="{8B4EFA77-B908-2E4C-B247-6582496B30C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I138" authorId="0" shapeId="0" xr:uid="{520A1E17-2539-9D46-9B82-81C5EBB3408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138" authorId="1" shapeId="0" xr:uid="{00C1FF36-68D8-694F-B56F-3A4FB9EEBF9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K139" authorId="1" shapeId="0" xr:uid="{E128F99D-5E19-D646-87CD-D50BC364DF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139" authorId="1" shapeId="0" xr:uid="{40045019-134F-1643-A0B3-66A3D4D7F01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O141" authorId="1" shapeId="0" xr:uid="{E88D6E2A-9932-004D-A7DA-808D2A930D9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I142" authorId="0" shapeId="0" xr:uid="{6BDD1D83-8656-E544-9DF7-422A6519E491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J142" authorId="1" shapeId="0" xr:uid="{7664B18E-724B-3946-9DFE-BE101E40ED4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L142" authorId="1" shapeId="0" xr:uid="{AE83BEE8-8A38-754F-A2A2-415878D3396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142" authorId="1" shapeId="0" xr:uid="{99E151B6-EFEB-D24E-B24D-E0A7F87D5EE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M151" authorId="1" shapeId="0" xr:uid="{97BCAF80-F323-9A4F-8F56-337ECE8C691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Suárez C.</author>
    <author>Fernanda Suarez</author>
    <author>USER</author>
  </authors>
  <commentList>
    <comment ref="R10" authorId="0" shapeId="0" xr:uid="{F7658C85-78FB-414B-B1C3-93CDBE02CC8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I12" authorId="1" shapeId="0" xr:uid="{D52F3796-FA97-A74F-A006-7C99AB95CD7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17" authorId="1" shapeId="0" xr:uid="{8920EF08-FBA7-3140-8866-9721FF11368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M17" authorId="0" shapeId="0" xr:uid="{ED27F6C5-8084-A645-A972-54E7EB3F194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17" authorId="0" shapeId="0" xr:uid="{00E67566-716A-2E44-B679-54E713CA138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S17" authorId="0" shapeId="0" xr:uid="{97444C95-CCE4-DD46-9E8C-40BF35815C8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20" authorId="1" shapeId="0" xr:uid="{C78A724B-1A72-694D-A1A2-007EBBD80E3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 arroz</t>
        </r>
      </text>
    </comment>
    <comment ref="J20" authorId="2" shapeId="0" xr:uid="{DA09E1B3-B300-4313-9E4A-460C70D907E1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BIFE CON ARROZ</t>
        </r>
      </text>
    </comment>
    <comment ref="K20" authorId="0" shapeId="0" xr:uid="{AA1A25A1-D9D9-3647-86FF-00FE40C4C30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L20" authorId="0" shapeId="0" xr:uid="{0B49783B-8E8F-F74A-BB28-E6E7EEFB277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M20" authorId="0" shapeId="0" xr:uid="{28AEFD54-6245-2240-90E7-A5C3BCA3FB6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N20" authorId="0" shapeId="0" xr:uid="{87D373E7-3E8E-BB4B-89AF-AFE76234E57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P20" authorId="0" shapeId="0" xr:uid="{589F4F1B-0FB2-4D42-9046-A006D041CE0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20" authorId="0" shapeId="0" xr:uid="{CAB7AFA9-345E-5F44-81D7-2A95F143BEB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R20" authorId="0" shapeId="0" xr:uid="{048BD54E-98C8-2E45-861A-9345CCDFB71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M22" authorId="0" shapeId="0" xr:uid="{9C23EA84-9FDF-DD49-8607-8E91CC4F4B3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U31" authorId="0" shapeId="0" xr:uid="{9ADBF0D6-5E53-6549-9C32-D32E2EAFB72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W31" authorId="0" shapeId="0" xr:uid="{8F3AAACF-2A05-1F49-AB5A-3A72F313EA8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con arroz</t>
        </r>
      </text>
    </comment>
    <comment ref="K33" authorId="0" shapeId="0" xr:uid="{6642F844-D34D-6F42-AE80-1B9F62E0BF3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L33" authorId="0" shapeId="0" xr:uid="{6087F80F-1FA9-2A43-94B5-81A28925325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Q33" authorId="0" shapeId="0" xr:uid="{7813C1CE-1666-244D-8EFD-D1FBE3BAFF5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V33" authorId="0" shapeId="0" xr:uid="{57E409D0-A930-0C4C-A59F-045061052AF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X33" authorId="0" shapeId="0" xr:uid="{970EB152-2589-D649-87F8-7DD2FB438A6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I34" authorId="1" shapeId="0" xr:uid="{3139422A-C788-BC42-A93D-A51CCA5BD21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L38" authorId="0" shapeId="0" xr:uid="{1B053F23-2EC6-9C48-907B-D28BB199722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P38" authorId="0" shapeId="0" xr:uid="{49BF28C7-BA8C-1D4C-ADA1-0BB68321766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V38" authorId="0" shapeId="0" xr:uid="{3DEB10EE-5870-9144-8562-C1D19A44DA5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CORAZON/NUGGETS</t>
        </r>
      </text>
    </comment>
    <comment ref="W38" authorId="0" shapeId="0" xr:uid="{05DD4EFB-621B-1747-96FE-F9BABC19200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</t>
        </r>
      </text>
    </comment>
    <comment ref="I39" authorId="1" shapeId="0" xr:uid="{803F0536-31C5-4648-8050-E6FA6BD1588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papas</t>
        </r>
      </text>
    </comment>
    <comment ref="J39" authorId="0" shapeId="0" xr:uid="{C139F53F-EE1A-2C4E-BDEE-775D9C60130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Q39" authorId="0" shapeId="0" xr:uid="{5BEA4727-EA84-E447-BC64-497B91C52F8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V39" authorId="0" shapeId="0" xr:uid="{6862CD8D-0495-3A46-AC0E-58727A3B0DB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PAPAS</t>
        </r>
      </text>
    </comment>
    <comment ref="K42" authorId="0" shapeId="0" xr:uid="{9F0E467F-42B9-114B-964A-471309FF3E8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R42" authorId="0" shapeId="0" xr:uid="{8A2EB8C1-49DC-F24D-BCC9-F6E75A34368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arroz</t>
        </r>
      </text>
    </comment>
    <comment ref="I43" authorId="1" shapeId="0" xr:uid="{EB14E602-0BC2-5447-893D-E721DBA3332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mantequilla sin pollo</t>
        </r>
      </text>
    </comment>
    <comment ref="Q43" authorId="0" shapeId="0" xr:uid="{1F2E88F3-38DA-8E4F-8DA7-74D381CB248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V43" authorId="0" shapeId="0" xr:uid="{536E63AD-3DE6-FE4C-95CE-A1B26A0DB30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W43" authorId="0" shapeId="0" xr:uid="{8C6E6388-1EFC-9D4A-B8F7-4C62BAC04EB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X43" authorId="0" shapeId="0" xr:uid="{3BDF4276-DEEA-C545-B974-D1C4DE1807B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G44" authorId="1" shapeId="0" xr:uid="{5BD5B1E6-0353-484E-BA83-33EE02F9CFE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K44" authorId="0" shapeId="0" xr:uid="{129ACD29-E06A-484C-BE47-F49B4EEA9A9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L44" authorId="0" shapeId="0" xr:uid="{C02E275E-15BD-7C4D-8F5E-0409BEC4C23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M44" authorId="1" shapeId="0" xr:uid="{A098E1E9-D99E-2A43-A939-6ADFB0100DC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N44" authorId="0" shapeId="0" xr:uid="{6970BC66-D544-B247-A1F7-071D8B6BBF1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44" authorId="0" shapeId="0" xr:uid="{30DB29A7-076A-E545-9FEE-F68B9D2FD75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R44" authorId="1" shapeId="0" xr:uid="{D2DD0D38-16F3-9C43-82F1-2947A4F0A65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papas y huevo</t>
        </r>
      </text>
    </comment>
    <comment ref="S44" authorId="1" shapeId="0" xr:uid="{5269BF0E-6829-904A-8D8A-728A659288C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U44" authorId="0" shapeId="0" xr:uid="{E17B5643-4AE1-5D41-BE87-8D4A082786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45" authorId="1" shapeId="0" xr:uid="{ADB6D560-8033-014F-BC6C-C28FA884691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L45" authorId="0" shapeId="0" xr:uid="{B7C68F6B-BF1D-B948-B3A0-EC0B26F5CC6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N45" authorId="0" shapeId="0" xr:uid="{AB58190B-376B-6245-ABDA-F7608DD3288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W45" authorId="0" shapeId="0" xr:uid="{C4D9EB09-CB33-3542-8BF9-026966CAD91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con nachos</t>
        </r>
      </text>
    </comment>
    <comment ref="I46" authorId="1" shapeId="0" xr:uid="{D3AB22BC-3747-6C45-9337-600D537E5FC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K46" authorId="0" shapeId="0" xr:uid="{F4BD9AA7-E81B-DA4D-A9DC-30D9893BBEC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46" authorId="0" shapeId="0" xr:uid="{6F5A0C1E-AD9D-0F48-AEAC-2300A876697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N46" authorId="0" shapeId="0" xr:uid="{40CB52FE-C7AE-3347-B892-F27FF1C7FB9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cheeseburger/DEBE SNACK</t>
        </r>
      </text>
    </comment>
    <comment ref="P46" authorId="0" shapeId="0" xr:uid="{A9A08E29-416D-E947-BB04-60FF3C136BF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J47" authorId="2" shapeId="0" xr:uid="{28AC0704-0C99-45BC-85AA-997B5421FD6A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NUGGETS
</t>
        </r>
      </text>
    </comment>
    <comment ref="L47" authorId="0" shapeId="0" xr:uid="{D6161627-6917-B244-B77D-D0F3ADB5C1B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A LA PLANCHA</t>
        </r>
      </text>
    </comment>
    <comment ref="M47" authorId="0" shapeId="0" xr:uid="{4400AF6C-8B97-3543-ADD2-10F8942B3D5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</t>
        </r>
      </text>
    </comment>
    <comment ref="N47" authorId="0" shapeId="0" xr:uid="{F48B9B6B-5F78-034F-A585-3A58C2A4523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47" authorId="0" shapeId="0" xr:uid="{5E0E3B05-50B2-4546-996C-6E640438DC6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S47" authorId="0" shapeId="0" xr:uid="{B5B4294D-D69D-AB41-A8D3-28871EF0F24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W47" authorId="0" shapeId="0" xr:uid="{0636B69C-CE90-5344-9F3D-27C98AB707E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J48" authorId="0" shapeId="0" xr:uid="{19E940FB-0321-DB4E-A6E0-6341CB3FB77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S49" authorId="0" shapeId="0" xr:uid="{75927A36-18E7-144F-A585-9DEBA4810FA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V49" authorId="0" shapeId="0" xr:uid="{978C486B-A037-CD4C-979A-91ACE9F5A01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CON PAPAS</t>
        </r>
      </text>
    </comment>
    <comment ref="W49" authorId="0" shapeId="0" xr:uid="{ADB9440C-A7EE-7C4C-914A-51028BEADE2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G51" authorId="1" shapeId="0" xr:uid="{348946DB-BB66-8B4E-B755-B0EA87FE5CC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51" authorId="0" shapeId="0" xr:uid="{70FC1A15-49A4-5048-8C44-85886CC2DE3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I52" authorId="1" shapeId="0" xr:uid="{7EC37FFE-F538-6948-91B1-B57AD448608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O56" authorId="0" shapeId="0" xr:uid="{115952DB-77C8-BA41-B318-9DFF32D67B9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T56" authorId="0" shapeId="0" xr:uid="{D248822D-FC0F-E54A-8FA8-5DA5D92BE11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con papas</t>
        </r>
      </text>
    </comment>
    <comment ref="S57" authorId="0" shapeId="0" xr:uid="{AD8AA8D8-12AE-0544-8E7A-474B1B2D5A2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K59" authorId="0" shapeId="0" xr:uid="{A556F282-EA60-C74D-BBD5-62AB436613A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wrap cesar</t>
        </r>
      </text>
    </comment>
    <comment ref="P59" authorId="0" shapeId="0" xr:uid="{00FD4E22-E93D-2440-B315-2FF202927E9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panini </t>
        </r>
      </text>
    </comment>
    <comment ref="U59" authorId="0" shapeId="0" xr:uid="{CD87783D-7B51-0441-BD17-2EFA14BC066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O61" authorId="0" shapeId="0" xr:uid="{5A72931F-15C5-354F-AD3A-EF993B8086C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62" authorId="1" shapeId="0" xr:uid="{72DB1C99-0FF5-A048-9C71-EA9A4A5FD10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P62" authorId="0" shapeId="0" xr:uid="{9FACFB92-FA91-3B46-BADE-89DDE432C43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62" authorId="0" shapeId="0" xr:uid="{965FD015-578B-9841-A4AA-571B3CD0854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G63" authorId="1" shapeId="0" xr:uid="{A9041744-CD6E-7A41-9CA3-20DE688670A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J63" authorId="0" shapeId="0" xr:uid="{868381C7-9329-F34A-A9E3-7A27DC164C5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M63" authorId="0" shapeId="0" xr:uid="{70D7E697-1967-4D45-95C4-7D3A76E56C5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Q63" authorId="0" shapeId="0" xr:uid="{9B414E21-8B7A-584E-BB47-120D49F41E5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A LA PLANCHA</t>
        </r>
      </text>
    </comment>
    <comment ref="W63" authorId="0" shapeId="0" xr:uid="{B7299BEE-9F79-D441-8066-ED1549824FB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Y63" authorId="0" shapeId="0" xr:uid="{C78250BE-E41A-3A4E-87D7-4B0F1EBF96F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papaz</t>
        </r>
      </text>
    </comment>
    <comment ref="I64" authorId="1" shapeId="0" xr:uid="{B0BF2759-343B-6043-850A-1233FEC3CF3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K64" authorId="0" shapeId="0" xr:uid="{58767AF8-3D51-9E4A-B63D-BB0487F450E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N64" authorId="0" shapeId="0" xr:uid="{4A1203DE-7B28-E049-99A7-378364E2BCB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R64" authorId="0" shapeId="0" xr:uid="{73C3778E-E193-AB43-BE99-59815375EA7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I65" authorId="1" shapeId="0" xr:uid="{DCF6674A-1D22-B845-ADD0-1EEC6E60AD2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a la plancha</t>
        </r>
      </text>
    </comment>
    <comment ref="J65" authorId="2" shapeId="0" xr:uid="{D2C70039-578C-4373-85C5-1B69AD3D5935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BIFE 
</t>
        </r>
      </text>
    </comment>
    <comment ref="K65" authorId="0" shapeId="0" xr:uid="{A1231E21-18DF-B640-A7FE-5C0D87EA174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L65" authorId="0" shapeId="0" xr:uid="{5F9E24E7-F2B5-E648-ABE1-D012598018C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P65" authorId="0" shapeId="0" xr:uid="{B55F133E-15D8-694C-9C30-8ED41C49D8A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BIFE CON HUEVO </t>
        </r>
      </text>
    </comment>
    <comment ref="Q65" authorId="0" shapeId="0" xr:uid="{048A054E-E6EF-194E-8D44-5DD15570364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 y huevo</t>
        </r>
      </text>
    </comment>
    <comment ref="S65" authorId="0" shapeId="0" xr:uid="{167C5D65-48B5-D942-8C8A-E0A80B974B1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 con papa</t>
        </r>
      </text>
    </comment>
    <comment ref="T65" authorId="0" shapeId="0" xr:uid="{B3575D34-765B-174B-83DA-28367848CE6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Y65" authorId="0" shapeId="0" xr:uid="{711A766A-C098-A24B-B02E-B47EF424AF7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J68" authorId="0" shapeId="0" xr:uid="{7351641A-3B14-7F4A-B9A5-05D68860ACF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 SIN SALSA</t>
        </r>
      </text>
    </comment>
    <comment ref="I69" authorId="1" shapeId="0" xr:uid="{D414D986-E6DF-2C4E-A1E7-69E583503C2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arroz</t>
        </r>
      </text>
    </comment>
    <comment ref="K69" authorId="0" shapeId="0" xr:uid="{5F391AAD-53A8-6A40-AF26-45BA93AD784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 CON ARROZ</t>
        </r>
      </text>
    </comment>
    <comment ref="P69" authorId="0" shapeId="0" xr:uid="{AEFC1F95-541F-6844-AF92-703282A2C51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CON ARROZ</t>
        </r>
      </text>
    </comment>
    <comment ref="U69" authorId="0" shapeId="0" xr:uid="{4C207FD8-CF68-F24B-89E5-F575551621A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CHICO CON PAPAS</t>
        </r>
      </text>
    </comment>
    <comment ref="V69" authorId="0" shapeId="0" xr:uid="{25303CFD-C8FD-6F42-9296-997576CC0CC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G70" authorId="1" shapeId="0" xr:uid="{C7101F86-1B35-ED4C-AA2D-153D394F96A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solo chocolatada</t>
        </r>
      </text>
    </comment>
    <comment ref="I71" authorId="1" shapeId="0" xr:uid="{CECD111B-626E-FB48-B0F8-4A4FEA1F978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Q84" authorId="0" shapeId="0" xr:uid="{1508C2F8-818F-2B45-B0E0-3A9A81AA702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H86" authorId="1" shapeId="0" xr:uid="{15336CE4-C29F-4F4A-917C-9B201C4E160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I86" authorId="1" shapeId="0" xr:uid="{145C711C-E509-CF4E-80BE-7A93282EA0A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corazon </t>
        </r>
      </text>
    </comment>
    <comment ref="P86" authorId="0" shapeId="0" xr:uid="{60B76A55-67A8-B448-A969-143CC7EC48C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 CON ARROZ</t>
        </r>
      </text>
    </comment>
    <comment ref="Q86" authorId="0" shapeId="0" xr:uid="{12546D4A-3FB1-7F42-8C52-1A201B37CEC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 con arroz</t>
        </r>
      </text>
    </comment>
    <comment ref="R86" authorId="0" shapeId="0" xr:uid="{1CB9B627-BA01-BB4F-88FE-818E0D722BD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 con arroz</t>
        </r>
      </text>
    </comment>
    <comment ref="O88" authorId="0" shapeId="0" xr:uid="{6BF80E23-4B8F-854D-94A7-8E5C1BE70FE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L90" authorId="0" shapeId="0" xr:uid="{6056B06C-8103-5A4B-A88E-3D308597951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M90" authorId="0" shapeId="0" xr:uid="{42764063-93EB-8A40-B9F6-CE4AEF5EA7A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N90" authorId="0" shapeId="0" xr:uid="{A6F11E77-4C73-B04B-A1D8-832854A4068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P90" authorId="0" shapeId="0" xr:uid="{DB465BE1-022D-F74E-A093-FD5DF36414C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90" authorId="0" shapeId="0" xr:uid="{CA33A741-EE97-4646-B241-BA9E755C543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R90" authorId="0" shapeId="0" xr:uid="{7C54246A-AF93-8540-AB0D-A7134789DE4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S90" authorId="0" shapeId="0" xr:uid="{51061953-EDA3-444E-A54F-967FB8D51FC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U90" authorId="0" shapeId="0" xr:uid="{0FE8D3B8-8091-8947-B643-E34073285AD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TALLARIN A LA MANTEQUILLA </t>
        </r>
      </text>
    </comment>
    <comment ref="X90" authorId="0" shapeId="0" xr:uid="{C45DA309-7AA6-B842-A1E9-BB73EF28BC4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TALLARARIN A LA MANTEQUILLA</t>
        </r>
      </text>
    </comment>
    <comment ref="I91" authorId="1" shapeId="0" xr:uid="{524D2284-FFA6-2344-9A74-3F993C01E4CD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L91" authorId="0" shapeId="0" xr:uid="{09026EAE-7EF9-E34A-A4C6-336D5627D87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R91" authorId="0" shapeId="0" xr:uid="{A31002C7-1ED0-8347-A28B-09F61CF3DD1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U91" authorId="0" shapeId="0" xr:uid="{D0E9785E-2AC2-6A47-B537-DE249E0C0DD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H93" authorId="1" shapeId="0" xr:uid="{45C8B8DB-9240-154F-A2BE-50204F4892E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93" authorId="1" shapeId="0" xr:uid="{96FCD65A-F7C4-EE48-A36C-4D31076E3E31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K93" authorId="0" shapeId="0" xr:uid="{D8A8CDCC-418A-A746-A461-EED75289A95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L93" authorId="0" shapeId="0" xr:uid="{BA9CB8FC-3C88-A443-AE93-F82854C83F9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>salchipapa</t>
        </r>
      </text>
    </comment>
    <comment ref="M93" authorId="0" shapeId="0" xr:uid="{8D283D41-CC2A-AE47-9500-E250DB81607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N93" authorId="0" shapeId="0" xr:uid="{6A090513-B620-6C48-BD14-EEE15863B39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slachicha</t>
        </r>
      </text>
    </comment>
    <comment ref="O93" authorId="0" shapeId="0" xr:uid="{13B1A281-9937-6D42-9A2C-32896B2B292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S93" authorId="0" shapeId="0" xr:uid="{13B4989D-9E30-C240-AF02-48F3BAA4AFF4}">
      <text>
        <r>
          <rPr>
            <b/>
            <sz val="10"/>
            <color rgb="FF000000"/>
            <rFont val="Tahoma"/>
            <family val="2"/>
          </rPr>
          <t>Fernanda Suárez C.:cheeseburger sin salsa</t>
        </r>
      </text>
    </comment>
    <comment ref="X93" authorId="0" shapeId="0" xr:uid="{3D541E30-3251-DA47-8371-2BA99900CF5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95" authorId="0" shapeId="0" xr:uid="{6AF6BFD3-71E8-C44E-9430-F1A9091674C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P95" authorId="0" shapeId="0" xr:uid="{26EB0822-19F3-B046-91EB-523310B2980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Q95" authorId="0" shapeId="0" xr:uid="{ECD799AF-CD1E-074F-9B19-A22652EAD35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R95" authorId="0" shapeId="0" xr:uid="{760F5A7C-2040-1748-86C0-D93BFBEC1FB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S95" authorId="0" shapeId="0" xr:uid="{A0C62C93-DFC8-174D-A29C-7E6A0567251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L96" authorId="0" shapeId="0" xr:uid="{20368A8A-47D5-434E-8CCB-F8F4E6793B1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 snack Y LUNCH</t>
        </r>
      </text>
    </comment>
    <comment ref="N96" authorId="0" shapeId="0" xr:uid="{24AA65E1-F8EF-0743-A928-74362A421AC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 almuerzo y merieda</t>
        </r>
      </text>
    </comment>
    <comment ref="O96" authorId="0" shapeId="0" xr:uid="{F201C18C-E8D4-8E44-A687-07F2925998D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 merienda</t>
        </r>
      </text>
    </comment>
    <comment ref="I97" authorId="1" shapeId="0" xr:uid="{33998F80-BAC9-1545-A371-C6E10175F6B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L97" authorId="0" shapeId="0" xr:uid="{678BC39A-0806-0242-9C45-97AF946721F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97" authorId="0" shapeId="0" xr:uid="{84E76E33-3A9B-724A-8B1C-D75CC39E787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R97" authorId="0" shapeId="0" xr:uid="{E7878046-6BF7-BB4F-94B8-288DD82181D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S97" authorId="0" shapeId="0" xr:uid="{D831E372-25E0-354D-AF75-4B5ACD66EEE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U97" authorId="0" shapeId="0" xr:uid="{F6975E44-E3C1-4E47-8406-D02E865E207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W97" authorId="0" shapeId="0" xr:uid="{978D7A53-3A75-3E4A-9E80-AA9BE5C0C48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H98" authorId="1" shapeId="0" xr:uid="{42B6FD76-4508-9240-85AB-51CAE627640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L98" authorId="0" shapeId="0" xr:uid="{57EC7C69-BAB1-5C40-8F55-A0112DBDD42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S98" authorId="0" shapeId="0" xr:uid="{F7D6B23E-913A-BE4B-8305-F0140E58AF4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I101" authorId="1" shapeId="0" xr:uid="{9AE374BA-7761-2340-A5D0-17D39E8FC52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K102" authorId="0" shapeId="0" xr:uid="{5A553829-A4EC-0647-9A34-A642DD468EB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M102" authorId="0" shapeId="0" xr:uid="{61F01809-3202-9742-9D03-110B7CEFFBE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K103" authorId="0" shapeId="0" xr:uid="{99927691-A255-3244-8422-454ABCFFD9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SALCHIPAPAS</t>
        </r>
      </text>
    </comment>
    <comment ref="S103" authorId="0" shapeId="0" xr:uid="{96252D34-3FDD-3747-BE90-5F560BF8AFE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L111" authorId="0" shapeId="0" xr:uid="{0D2CE98C-5799-9640-8FB2-B20F49561DE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chorizo</t>
        </r>
      </text>
    </comment>
    <comment ref="Q111" authorId="0" shapeId="0" xr:uid="{477A00A4-FD9B-7440-A5B2-5505BA82E28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K112" authorId="0" shapeId="0" xr:uid="{07F05B4D-B82E-2546-858F-EC726D759B7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sin arroz</t>
        </r>
      </text>
    </comment>
    <comment ref="N112" authorId="0" shapeId="0" xr:uid="{D9649F74-EE4E-4949-AAB3-B1112D66654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Q112" authorId="0" shapeId="0" xr:uid="{6609423E-B0DA-6F40-93B9-E00D098E8B2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X112" authorId="0" shapeId="0" xr:uid="{3B664BD1-54A1-B340-AEED-0F8758D1B04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X113" authorId="0" shapeId="0" xr:uid="{363DFC55-8053-AD4F-A35D-E7938DBBE2B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G115" authorId="1" shapeId="0" xr:uid="{435833EE-2A26-E44C-8A53-3D67942E8A2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bolognesa</t>
        </r>
      </text>
    </comment>
    <comment ref="S115" authorId="0" shapeId="0" xr:uid="{0E701737-6C5E-C44A-98DB-EDF6B215B17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K116" authorId="0" shapeId="0" xr:uid="{62F82EDF-5441-3441-981C-90210C31F16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N116" authorId="0" shapeId="0" xr:uid="{F6FFFCF1-1D47-204B-8267-B7DE4557ACC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fideo con salchicha</t>
        </r>
      </text>
    </comment>
    <comment ref="Q116" authorId="0" shapeId="0" xr:uid="{656AB688-C54D-AF43-A728-67BE4085A35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G117" authorId="1" shapeId="0" xr:uid="{C38F2EF0-936A-5D4C-B7BC-0BB82DD515C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bolognesa</t>
        </r>
      </text>
    </comment>
    <comment ref="H117" authorId="1" shapeId="0" xr:uid="{B916E0E8-98B0-6045-B38B-6B6E70F7EF8B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I117" authorId="1" shapeId="0" xr:uid="{16ED34AC-D90F-F444-A6A3-0B9FB5185FAE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117" authorId="2" shapeId="0" xr:uid="{F096D3A0-A23D-43C3-A70B-54919DF3E515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TALLARIN A LA BOLOÑEZA</t>
        </r>
      </text>
    </comment>
    <comment ref="L117" authorId="0" shapeId="0" xr:uid="{25E8A60F-3CF9-DB48-94D0-6A9EEBD3F9D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P117" authorId="0" shapeId="0" xr:uid="{ECF6CFB4-CA7E-164E-8A85-7F0A3C83539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R117" authorId="0" shapeId="0" xr:uid="{85155BBA-0E5E-F340-AB5D-33904834DEA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U117" authorId="0" shapeId="0" xr:uid="{FE6C8C56-5BCB-174A-859A-57EAAE7C4EB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 DE POLLO</t>
        </r>
      </text>
    </comment>
    <comment ref="W117" authorId="0" shapeId="0" xr:uid="{45A666F7-CA0C-0844-9B70-2FCB3796E5A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</t>
        </r>
      </text>
    </comment>
    <comment ref="T120" authorId="0" shapeId="0" xr:uid="{9A73E6D7-997E-0C44-923B-AD08BA1434F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X120" authorId="0" shapeId="0" xr:uid="{BD39FDA6-9C01-7049-B9A6-A7711533BBE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Y120" authorId="0" shapeId="0" xr:uid="{6BD44EEE-A976-0744-9BD4-1BEBBEDD15A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Q124" authorId="0" shapeId="0" xr:uid="{4469C715-5CCB-E04D-AB69-179A31F0C66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R124" authorId="0" shapeId="0" xr:uid="{E899CBA5-7A9C-F949-99CE-27FE212D18B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S124" authorId="0" shapeId="0" xr:uid="{6E2267E0-E3D5-E64A-B3DF-D35B035995E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U124" authorId="0" shapeId="0" xr:uid="{1979CA27-3A1D-FC4C-9041-3579F3784EE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K126" authorId="0" shapeId="0" xr:uid="{279FD160-845A-064F-8919-4B4ED63AE84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I127" authorId="1" shapeId="0" xr:uid="{00B2A37B-47FA-4A49-9AC2-BDDE3F91CDB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L127" authorId="0" shapeId="0" xr:uid="{531B170C-C3BE-A743-9B41-EF20D17ECB9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N127" authorId="0" shapeId="0" xr:uid="{9239753C-C1DC-9744-8109-1FE3C820EA8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I129" authorId="1" shapeId="0" xr:uid="{10F83D60-BCE4-4A4B-8726-D57716AD1C6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mantequilla con pollo</t>
        </r>
      </text>
    </comment>
    <comment ref="I132" authorId="1" shapeId="0" xr:uid="{36301C5A-167B-4843-8526-2D87EFA9992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K132" authorId="0" shapeId="0" xr:uid="{3CDD5741-377D-8443-8FC5-03D84A0E61E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V132" authorId="0" shapeId="0" xr:uid="{F8880B7C-38D8-2340-9369-B8237FD666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I133" authorId="1" shapeId="0" xr:uid="{8B9F01EC-5653-C145-861B-2544694C6B34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J133" authorId="0" shapeId="0" xr:uid="{CEB397F8-1C98-BD45-A01A-927E8AE7AA8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G136" authorId="1" shapeId="0" xr:uid="{41603F1D-9582-A34B-B353-681A86A14AC6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I136" authorId="1" shapeId="0" xr:uid="{60FBC7CD-EB0D-1040-8EF0-726055A2352E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J136" authorId="0" shapeId="0" xr:uid="{5919CF24-0C6E-844D-BF78-1667EA07DF9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P136" authorId="0" shapeId="0" xr:uid="{52CD40A8-E377-8744-9F74-B989B2981AD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Q136" authorId="0" shapeId="0" xr:uid="{8AACC145-5ADC-8A48-8CDF-6FBB0E41C8D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bife </t>
        </r>
      </text>
    </comment>
    <comment ref="R136" authorId="0" shapeId="0" xr:uid="{845DBAEA-D7E6-A847-954B-39CE6A72527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W136" authorId="0" shapeId="0" xr:uid="{4136FEDD-C889-504B-9BC9-BF6F6110151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X136" authorId="0" shapeId="0" xr:uid="{3C5FC17E-813A-C746-A186-15747B36FFF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Y136" authorId="0" shapeId="0" xr:uid="{17C71992-1950-4E49-8AE1-86398F87950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bife</t>
        </r>
      </text>
    </comment>
    <comment ref="G137" authorId="1" shapeId="0" xr:uid="{C4726199-C573-A644-9148-85A3164D8514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</t>
        </r>
      </text>
    </comment>
    <comment ref="H137" authorId="1" shapeId="0" xr:uid="{7946F8D9-B4D4-DB4F-9A0B-44E4CF613AB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I137" authorId="1" shapeId="0" xr:uid="{B46D4343-2C66-2B44-9468-E6A2A173916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137" authorId="0" shapeId="0" xr:uid="{ACBB168E-55BD-F643-A27F-C3A0B80ED44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 SNACK</t>
        </r>
      </text>
    </comment>
    <comment ref="K137" authorId="0" shapeId="0" xr:uid="{BCA7088F-A380-9741-927E-CFFDE7C7D5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L137" authorId="0" shapeId="0" xr:uid="{171BFFCF-C8C7-1D4A-B126-E9A4DEC568D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de pollo</t>
        </r>
      </text>
    </comment>
    <comment ref="P137" authorId="0" shapeId="0" xr:uid="{E4A104AE-94B4-CA4D-92DF-C17047AF918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137" authorId="0" shapeId="0" xr:uid="{2E26C745-ACCD-9740-9A17-5C1297FF2E7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R137" authorId="0" shapeId="0" xr:uid="{6B1A857F-9C46-5B47-A049-E10EC60EBD3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U137" authorId="0" shapeId="0" xr:uid="{0856A9C1-F6D9-E24F-9585-BE4AE0CA19E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V137" authorId="0" shapeId="0" xr:uid="{6B207F39-61C4-4849-8CE2-2A95EA0AAF7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W137" authorId="0" shapeId="0" xr:uid="{79CB9033-D197-B046-9E63-C54FFABDE4A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Y137" authorId="0" shapeId="0" xr:uid="{FFC868F9-E6DD-CC46-B130-A96BD58E18C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pipoas</t>
        </r>
      </text>
    </comment>
    <comment ref="H138" authorId="1" shapeId="0" xr:uid="{32B3445F-9B86-DF42-AF4E-F95653DB889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I138" authorId="1" shapeId="0" xr:uid="{9859BAB8-0C59-D14F-A7CD-5C66081170F4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K138" authorId="0" shapeId="0" xr:uid="{D763DDBD-C968-5449-9C9B-84F5F0FE85A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M138" authorId="0" shapeId="0" xr:uid="{5666963B-35A5-D84F-B26C-6D9C24CF703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 DE POLLO</t>
        </r>
      </text>
    </comment>
    <comment ref="R138" authorId="0" shapeId="0" xr:uid="{2563C850-E433-6E49-A53B-01A05B8255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S138" authorId="0" shapeId="0" xr:uid="{2E2762E3-0B43-E040-9D65-0D1B7E9325F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  <comment ref="V138" authorId="0" shapeId="0" xr:uid="{EAFAC405-930B-5A45-A433-0C3D33271A6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</t>
        </r>
      </text>
    </comment>
    <comment ref="W138" authorId="0" shapeId="0" xr:uid="{F19CEB1B-B787-0846-A5D0-717D880E6BB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H140" authorId="1" shapeId="0" xr:uid="{8A928F14-D486-4748-8E80-5E8A05520B01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SOLO</t>
        </r>
      </text>
    </comment>
    <comment ref="J140" authorId="2" shapeId="0" xr:uid="{C3726074-3FB6-4C87-908B-FE044C2CFEFE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HAMBURGUESA
</t>
        </r>
      </text>
    </comment>
    <comment ref="K140" authorId="0" shapeId="0" xr:uid="{B0CC0A65-FCA5-6C44-BC9B-AF422F8A735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L140" authorId="0" shapeId="0" xr:uid="{57997133-1CE5-0143-9913-D42CE797C4C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G145" authorId="1" shapeId="0" xr:uid="{A369734B-5475-2A48-B160-4728F4A3BF4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145" authorId="0" shapeId="0" xr:uid="{D2B69DE1-741A-0E4F-8DD7-B504CC50394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Q147" authorId="0" shapeId="0" xr:uid="{7BE8CEE9-1EEC-4746-9502-B54211E7445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 con papas/falta justificacion</t>
        </r>
      </text>
    </comment>
    <comment ref="V147" authorId="0" shapeId="0" xr:uid="{28B81EAC-8A54-8B41-B5C0-9AA1C00C6B2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W147" authorId="0" shapeId="0" xr:uid="{52FE3766-9683-CC49-904D-40399332F2A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 sin salsa</t>
        </r>
      </text>
    </comment>
    <comment ref="I152" authorId="1" shapeId="0" xr:uid="{E4C9DC3E-3315-DD41-879C-D5E52CCBCDF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salsa roja</t>
        </r>
      </text>
    </comment>
    <comment ref="L152" authorId="0" shapeId="0" xr:uid="{BD126132-6852-424C-A1A4-7229354C7DA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con salchicha</t>
        </r>
      </text>
    </comment>
    <comment ref="Q152" authorId="0" shapeId="0" xr:uid="{DEE96C5F-7479-634C-BE60-C76AC8801D1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 con papas</t>
        </r>
      </text>
    </comment>
    <comment ref="U152" authorId="0" shapeId="0" xr:uid="{679B4C27-4EBE-2B48-B4E8-5103CEC03C5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TALLARIN A LA BOLOGNESA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Suárez C.</author>
    <author>Fernanda Suarez</author>
  </authors>
  <commentList>
    <comment ref="J9" authorId="0" shapeId="0" xr:uid="{0B6E0421-69A3-E24D-B053-4155EBCA073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G10" authorId="1" shapeId="0" xr:uid="{1F0CD07D-C639-F943-B802-17E47F0FE1E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O10" authorId="0" shapeId="0" xr:uid="{4D108372-729E-0746-8FA5-A41BF964AA5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CORAZON</t>
        </r>
      </text>
    </comment>
    <comment ref="T10" authorId="0" shapeId="0" xr:uid="{0B1B0346-8184-5C42-87D7-8934DB2E6D2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L16" authorId="0" shapeId="0" xr:uid="{E2B8DD61-C3EA-594A-B1C7-2B25B0A942E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O16" authorId="0" shapeId="0" xr:uid="{CFAECEFE-B6FA-9241-BF1A-35810B7AA1E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K19" authorId="0" shapeId="0" xr:uid="{8A1E089C-EC39-2E48-810B-0B02132829A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SALCHIPAPA</t>
        </r>
      </text>
    </comment>
    <comment ref="Q19" authorId="0" shapeId="0" xr:uid="{EC3EDC95-1E0C-424E-B1B7-387A260499C5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t4ex mex</t>
        </r>
      </text>
    </comment>
    <comment ref="S24" authorId="0" shapeId="0" xr:uid="{39799122-A0F7-E945-9963-B96C5CAADB7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L25" authorId="0" shapeId="0" xr:uid="{826CBCC3-E633-1149-861B-E4951C11CA7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ensalada mexicana</t>
        </r>
      </text>
    </comment>
    <comment ref="L26" authorId="0" shapeId="0" xr:uid="{CF7BFC7F-6FC2-AF4E-9AFF-CAD0CFBBB8A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M26" authorId="0" shapeId="0" xr:uid="{FEA2351F-BB62-9546-BEBC-3DB5D6044C0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cash</t>
        </r>
      </text>
    </comment>
    <comment ref="O26" authorId="0" shapeId="0" xr:uid="{C2ECBECB-0A71-1B47-B041-713280147E1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cash</t>
        </r>
      </text>
    </comment>
    <comment ref="G34" authorId="1" shapeId="0" xr:uid="{57F66FDC-5A79-A941-B414-D73768E2FC4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H38" authorId="1" shapeId="0" xr:uid="{A0BBCD57-2F16-A943-AC26-8F630A796F0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G41" authorId="1" shapeId="0" xr:uid="{3095178A-CD8E-5641-A952-D13F90410D5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G61" authorId="1" shapeId="0" xr:uid="{1BA45651-AC1F-8C4A-B21A-DBD707E3ABA4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K61" authorId="0" shapeId="0" xr:uid="{4953E3FD-74F4-8B4A-B226-C7A3DEBC79C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W61" authorId="0" shapeId="0" xr:uid="{55FF5BAB-B0BC-704C-ADA3-420ADF449BA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bowl tex mex</t>
        </r>
      </text>
    </comment>
    <comment ref="J63" authorId="0" shapeId="0" xr:uid="{7201CEE3-C7BC-F94B-A549-77392EF40AD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P80" authorId="0" shapeId="0" xr:uid="{862F633C-52D6-C542-9006-FFD9B10AFC8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J95" authorId="1" shapeId="0" xr:uid="{A826EA04-DE62-1747-97D8-F37E9767F890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ex all week</t>
        </r>
      </text>
    </comment>
    <comment ref="N95" authorId="0" shapeId="0" xr:uid="{829BFE99-B947-4248-B688-7C494F60C79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P95" authorId="0" shapeId="0" xr:uid="{06B6ECB9-5144-9F41-8B10-387085F1F66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all week tex mex</t>
        </r>
      </text>
    </comment>
    <comment ref="S105" authorId="0" shapeId="0" xr:uid="{2643A068-24CE-D94A-A83F-8969A7751C9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H115" authorId="1" shapeId="0" xr:uid="{BDFFB378-6B2F-BA4D-A45C-094889830BB7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MEXICANA</t>
        </r>
      </text>
    </comment>
    <comment ref="N115" authorId="0" shapeId="0" xr:uid="{07E84B34-E75B-D64C-A43E-71A9909E4FA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S115" authorId="0" shapeId="0" xr:uid="{63EA7913-19F7-2E4B-BC0C-1BFDABD71EC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W115" authorId="0" shapeId="0" xr:uid="{B6BBD875-240E-F94A-BD0D-49535CA1122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K116" authorId="0" shapeId="0" xr:uid="{268531AE-11B8-9F45-A67E-DCB80F31219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H122" authorId="1" shapeId="0" xr:uid="{D1D01CC8-A86B-4544-8621-6C8491198A3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K122" authorId="0" shapeId="0" xr:uid="{BA782AB2-2F7E-7C47-A9EF-65C9FDA504B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MNEU FIT</t>
        </r>
      </text>
    </comment>
    <comment ref="G130" authorId="1" shapeId="0" xr:uid="{1D2A122F-12A5-5A4E-83B8-28FE906B9128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J130" authorId="0" shapeId="0" xr:uid="{5D625513-DD39-4042-A65F-19C29A1D4BC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MILA </t>
        </r>
      </text>
    </comment>
    <comment ref="O130" authorId="0" shapeId="0" xr:uid="{B9B75C12-7962-2B4F-8823-5509D6C8B85B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</t>
        </r>
      </text>
    </comment>
    <comment ref="J131" authorId="0" shapeId="0" xr:uid="{1D394B58-ACBE-344A-99D8-AA1E67DCE60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</t>
        </r>
      </text>
    </comment>
    <comment ref="Y131" authorId="0" shapeId="0" xr:uid="{07BC0E10-4B64-1F4E-8AD7-C556FAED13D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</t>
        </r>
      </text>
    </comment>
    <comment ref="U133" authorId="0" shapeId="0" xr:uid="{4070643C-692E-C44A-A56A-88F5DA7A1A7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Suárez C.</author>
    <author>Fernanda Suarez</author>
  </authors>
  <commentList>
    <comment ref="J12" authorId="0" shapeId="0" xr:uid="{BB22A685-81D4-914F-A0AB-D99B2818DDF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K14" authorId="0" shapeId="0" xr:uid="{34C3769E-F001-7144-89DC-ABC1620737D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M20" authorId="0" shapeId="0" xr:uid="{5DA889E0-DAE9-2940-8C01-662AC9EA4BA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J24" authorId="1" shapeId="0" xr:uid="{C7E96345-13DF-514A-92F1-9DF1DFBD143D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M27" authorId="0" shapeId="0" xr:uid="{60B81D8D-857D-AC4A-B55B-37D4D43C2958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G28" authorId="1" shapeId="0" xr:uid="{154AA628-ECCD-EB49-ABBA-71752BAB4FD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</t>
        </r>
      </text>
    </comment>
    <comment ref="H28" authorId="1" shapeId="0" xr:uid="{35435A48-AC96-184B-866F-368C2C51720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</t>
        </r>
      </text>
    </comment>
    <comment ref="U28" authorId="0" shapeId="0" xr:uid="{97160FF7-6AAA-CF49-9BEC-8A6716BBF0B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quesadilla </t>
        </r>
      </text>
    </comment>
    <comment ref="X28" authorId="0" shapeId="0" xr:uid="{9C26BD94-7ED3-9D44-8DF8-39A92357D94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</t>
        </r>
      </text>
    </comment>
    <comment ref="J30" authorId="0" shapeId="0" xr:uid="{E3974D24-2A93-FC4D-9717-702822CE5CE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 y bife intercalar</t>
        </r>
      </text>
    </comment>
    <comment ref="K36" authorId="0" shapeId="0" xr:uid="{33768213-D456-B947-8563-DCEBE646952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 CON ARROZ</t>
        </r>
      </text>
    </comment>
    <comment ref="L36" authorId="0" shapeId="0" xr:uid="{96BDC0E2-F9A7-5F43-825A-0631CC9F4CF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POLLO A LA PLANCHA CON ARROZ</t>
        </r>
      </text>
    </comment>
    <comment ref="K40" authorId="0" shapeId="0" xr:uid="{F39BD88C-1684-3242-89B1-B670C22EEFD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L40" authorId="0" shapeId="0" xr:uid="{45C6565C-5097-4C4E-B930-3ECCF01EE4D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N40" authorId="0" shapeId="0" xr:uid="{2FF1F593-067A-2F49-942B-A25E3E61DB8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V40" authorId="0" shapeId="0" xr:uid="{26B54B36-34AC-0B46-880B-7C6BBA515DD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L42" authorId="0" shapeId="0" xr:uid="{66A0EEEC-E5DF-854D-B0DE-903F38E9E45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T45" authorId="0" shapeId="0" xr:uid="{7DF65D3A-21FC-D546-850B-F1375A2D376D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CASH</t>
        </r>
      </text>
    </comment>
    <comment ref="G65" authorId="1" shapeId="0" xr:uid="{D02D921F-49E2-8043-8532-113C4813429E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J65" authorId="1" shapeId="0" xr:uid="{B49376E9-7302-B147-BF72-5BBF4DE6BDA3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O65" authorId="1" shapeId="0" xr:uid="{75901D67-6B11-9746-9035-1751EAB334A2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T65" authorId="1" shapeId="0" xr:uid="{5EAD49BA-B456-5243-83D6-4F53418400A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Y65" authorId="1" shapeId="0" xr:uid="{4A0CFE98-956C-4546-9904-827A65AA369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G75" authorId="1" shapeId="0" xr:uid="{4090396C-11DB-D54A-BBC2-901EAF90146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H75" authorId="1" shapeId="0" xr:uid="{6B11E480-1302-9542-956A-3B70E39C7D65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J75" authorId="0" shapeId="0" xr:uid="{B3499A4D-07B4-5943-AE2C-5C49F7FD18C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 DE POLLO</t>
        </r>
      </text>
    </comment>
    <comment ref="L75" authorId="0" shapeId="0" xr:uid="{81A97881-B4CB-CC43-A7C1-2778328F75A0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cheeseburger</t>
        </r>
      </text>
    </comment>
    <comment ref="O75" authorId="0" shapeId="0" xr:uid="{A6D1C9DC-AE48-CE4E-A48C-304AA1397D1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H78" authorId="1" shapeId="0" xr:uid="{E8933B61-CDE9-1C46-9281-75964A57765C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K78" authorId="0" shapeId="0" xr:uid="{E69A512C-D2E5-A842-9CA5-8A25AE6DB614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M78" authorId="0" shapeId="0" xr:uid="{20104CF3-417F-6A45-8260-57478A0B3A2F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N78" authorId="0" shapeId="0" xr:uid="{44A161FE-532A-4A42-B6AE-33D916B30BD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Q78" authorId="0" shapeId="0" xr:uid="{09792A3E-E40F-E048-B19F-67CC69CDE1B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X78" authorId="0" shapeId="0" xr:uid="{5EA8F63B-EAF7-BD40-9F2D-DC4885B71DB6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MILANESA</t>
        </r>
      </text>
    </comment>
    <comment ref="K80" authorId="0" shapeId="0" xr:uid="{683D9942-5AAD-B54C-8B60-9E18D35C7549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MILA</t>
        </r>
      </text>
    </comment>
    <comment ref="M80" authorId="0" shapeId="0" xr:uid="{476C2019-F7F4-4949-8A0D-801E34D0E291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M81" authorId="0" shapeId="0" xr:uid="{BB2BA1CC-060B-CA48-A7BB-325C2DEAB58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 de pollo</t>
        </r>
      </text>
    </comment>
    <comment ref="N81" authorId="0" shapeId="0" xr:uid="{ADBCDBFA-0419-F24E-AD33-F29CCEDADC1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quesadilla de pollo</t>
        </r>
      </text>
    </comment>
    <comment ref="K86" authorId="0" shapeId="0" xr:uid="{6BA856AC-2E63-4345-BC5D-A894F3360D2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P94" authorId="0" shapeId="0" xr:uid="{80D97764-9313-7647-AFB7-D0212DC4E967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bowl tex mex</t>
        </r>
      </text>
    </comment>
    <comment ref="Y94" authorId="0" shapeId="0" xr:uid="{D4E20972-F4CF-9840-94E0-0173BB611C5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Q118" authorId="0" shapeId="0" xr:uid="{8DEB10BA-2160-F84B-9C21-49C23A9A6BC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tex mex</t>
        </r>
      </text>
    </comment>
    <comment ref="W120" authorId="0" shapeId="0" xr:uid="{755EB6DF-8523-0640-9F8B-3D4E3A203E0E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CASH </t>
        </r>
      </text>
    </comment>
    <comment ref="K125" authorId="0" shapeId="0" xr:uid="{953F7051-6178-3641-859C-D1268F60B02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INTERCALAR</t>
        </r>
      </text>
    </comment>
    <comment ref="H130" authorId="1" shapeId="0" xr:uid="{3DE8B3EA-6880-8440-973E-5FE1544491DA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L130" authorId="0" shapeId="0" xr:uid="{C71068F0-581F-C744-89DA-4538CB93EC6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nuggets</t>
        </r>
      </text>
    </comment>
    <comment ref="M130" authorId="0" shapeId="0" xr:uid="{4DF3F836-1DAB-1744-B13A-3727CB3EA69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>pipocas</t>
        </r>
      </text>
    </comment>
    <comment ref="R130" authorId="0" shapeId="0" xr:uid="{EB617995-78FD-6943-9F7E-B0E6B4B3CC2A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pipocas</t>
        </r>
      </text>
    </comment>
    <comment ref="G132" authorId="1" shapeId="0" xr:uid="{B1520310-0BB8-1342-AE73-4745A966D56F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H132" authorId="1" shapeId="0" xr:uid="{7427C142-67F2-7F46-98E1-30FEBDA61C89}">
      <text>
        <r>
          <rPr>
            <b/>
            <sz val="10"/>
            <color rgb="FF000000"/>
            <rFont val="Tahoma"/>
            <family val="2"/>
          </rPr>
          <t>Fernanda Suarez: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pechuga</t>
        </r>
      </text>
    </comment>
    <comment ref="K133" authorId="0" shapeId="0" xr:uid="{1107E5A7-FEEF-0F4E-BEF1-335B459033E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V133" authorId="0" shapeId="0" xr:uid="{D84D1F00-A132-D14B-9367-66140F910A22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menu fit</t>
        </r>
      </text>
    </comment>
    <comment ref="M139" authorId="0" shapeId="0" xr:uid="{7BEB34BC-A689-0548-BD1C-28381529B4FC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sin justificacion</t>
        </r>
      </text>
    </comment>
    <comment ref="N140" authorId="0" shapeId="0" xr:uid="{6EB52A9D-5018-4944-983E-3C66F5893663}">
      <text>
        <r>
          <rPr>
            <b/>
            <sz val="10"/>
            <color rgb="FF000000"/>
            <rFont val="Tahoma"/>
            <family val="2"/>
          </rPr>
          <t>Fernanda Suárez C.: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panini con nachos</t>
        </r>
      </text>
    </comment>
  </commentList>
</comments>
</file>

<file path=xl/sharedStrings.xml><?xml version="1.0" encoding="utf-8"?>
<sst xmlns="http://schemas.openxmlformats.org/spreadsheetml/2006/main" count="1633" uniqueCount="804">
  <si>
    <t>ALUMNO</t>
  </si>
  <si>
    <t>CURSO</t>
  </si>
  <si>
    <t>FECHA INICIO</t>
  </si>
  <si>
    <t>FECHA FIN</t>
  </si>
  <si>
    <t>ISABELLE MOLINA</t>
  </si>
  <si>
    <t>6S</t>
  </si>
  <si>
    <t>LORENZO AMORIM</t>
  </si>
  <si>
    <t>VALERIA PINEDA</t>
  </si>
  <si>
    <t>Nro.</t>
  </si>
  <si>
    <t>OBSERVACIONES</t>
  </si>
  <si>
    <t>PLATOS VENDIDOS</t>
  </si>
  <si>
    <t>PLATOS VENDIDOS EN BS</t>
  </si>
  <si>
    <t>L</t>
  </si>
  <si>
    <t>M</t>
  </si>
  <si>
    <t>J</t>
  </si>
  <si>
    <t>V</t>
  </si>
  <si>
    <t>FRANCO CIANCAGLINI</t>
  </si>
  <si>
    <t>ISABELLA PINEDA</t>
  </si>
  <si>
    <t>1P</t>
  </si>
  <si>
    <t>VALENTINA SANDOVAL</t>
  </si>
  <si>
    <t>DARIO GUTIERREZ</t>
  </si>
  <si>
    <t>4P</t>
  </si>
  <si>
    <t>MATEO CORONADO</t>
  </si>
  <si>
    <t>MARIA VICTORIA PARADA</t>
  </si>
  <si>
    <t>Nro</t>
  </si>
  <si>
    <t>ANGELINA MENDOZA</t>
  </si>
  <si>
    <t>1S</t>
  </si>
  <si>
    <t>DASHA MORALES</t>
  </si>
  <si>
    <t>3S</t>
  </si>
  <si>
    <t>HORARIO ESCOLAR 13:05</t>
  </si>
  <si>
    <t>5S</t>
  </si>
  <si>
    <t>4S</t>
  </si>
  <si>
    <t>DETALLE TURNO</t>
  </si>
  <si>
    <t>TOTAL PLATOS VENDIDOS</t>
  </si>
  <si>
    <t>IMPORTE POR PLATO BS.</t>
  </si>
  <si>
    <t>IMPORTE TOTAL A PAGAR BS.</t>
  </si>
  <si>
    <t>TURNO 1</t>
  </si>
  <si>
    <t>TURNO 2</t>
  </si>
  <si>
    <t>TURNO 3</t>
  </si>
  <si>
    <t>TURNO 4</t>
  </si>
  <si>
    <t>TURNO 5</t>
  </si>
  <si>
    <t>TOTALES</t>
  </si>
  <si>
    <t>CANTIDAD</t>
  </si>
  <si>
    <t>BOLIVIANOS</t>
  </si>
  <si>
    <t>PRECIO UNITARIO BS</t>
  </si>
  <si>
    <t>PRECIO TOTAL BS.</t>
  </si>
  <si>
    <t>AGUSTIN SUBIRANA</t>
  </si>
  <si>
    <t>2P</t>
  </si>
  <si>
    <t>ROBERTO GIL GIMENEZ</t>
  </si>
  <si>
    <t>ENZO SEGOVIA ZAMBONINO</t>
  </si>
  <si>
    <t>5P</t>
  </si>
  <si>
    <t>3P</t>
  </si>
  <si>
    <t>RODOLFO VARGAS</t>
  </si>
  <si>
    <t>YOLANDA CAREAGA</t>
  </si>
  <si>
    <t xml:space="preserve">JHERICK IAN SOLIZ </t>
  </si>
  <si>
    <t>ARIANNA TIRADO</t>
  </si>
  <si>
    <t>MARIANO PARADA</t>
  </si>
  <si>
    <t>BENJAMIN RIVERO</t>
  </si>
  <si>
    <t>HUMBERTO PINTO</t>
  </si>
  <si>
    <t>ANTONELLA ROJAS</t>
  </si>
  <si>
    <t>VICTORIA ROJAS</t>
  </si>
  <si>
    <t>VICTORIA SANDOVAL</t>
  </si>
  <si>
    <t>MARIA VICTORIA FORONDA</t>
  </si>
  <si>
    <t>ALICE RAFAELA NOVILLO</t>
  </si>
  <si>
    <t>6P</t>
  </si>
  <si>
    <t>ALISON REBECA ALBA</t>
  </si>
  <si>
    <t>EMA NACIF ZALZER</t>
  </si>
  <si>
    <t>SARA MARIA  HURTADO</t>
  </si>
  <si>
    <t>LUCIA CHAVEZ</t>
  </si>
  <si>
    <t>ALISSA ZACHARIAS MENACHO</t>
  </si>
  <si>
    <t>MAYA BELEN ZUNA</t>
  </si>
  <si>
    <t>FRANCO TAKUSSI</t>
  </si>
  <si>
    <t>SOFIA GUTIERREZ LEON</t>
  </si>
  <si>
    <t>ROBERTO SUAREZ</t>
  </si>
  <si>
    <t>LUCIANA BARCO</t>
  </si>
  <si>
    <t xml:space="preserve">MURILO AMORIM </t>
  </si>
  <si>
    <t>IVAN MADARIAGA</t>
  </si>
  <si>
    <t>OLIVIA PARADA</t>
  </si>
  <si>
    <t>RAFAELLA AÑEZ</t>
  </si>
  <si>
    <t>MIA MONTENEGRO</t>
  </si>
  <si>
    <t>SEBASTIAN MONTENEGRO</t>
  </si>
  <si>
    <t>FELIPE MEDINA</t>
  </si>
  <si>
    <t xml:space="preserve">BRUNA MEDINA </t>
  </si>
  <si>
    <t>2S</t>
  </si>
  <si>
    <t>MARTINA CORTEZ</t>
  </si>
  <si>
    <t>AGUSTINA VALENCIA</t>
  </si>
  <si>
    <t>FRANCISCO VALENCIA</t>
  </si>
  <si>
    <t>LUCAS ESCOBAR</t>
  </si>
  <si>
    <t>NICOLAS AESCHBACHER</t>
  </si>
  <si>
    <t>MATEO AESCHBACHER</t>
  </si>
  <si>
    <t>ALEXANDER AESCHBACHER</t>
  </si>
  <si>
    <t>EMILIANA RODRIGUEZ</t>
  </si>
  <si>
    <t>ESTEBAN RODRIGUEZ</t>
  </si>
  <si>
    <t>LIA VALERIA PEÑA</t>
  </si>
  <si>
    <t>LEANDRO GASTÓN VARGAS</t>
  </si>
  <si>
    <t>FERNANDA ALVIS</t>
  </si>
  <si>
    <t>PRE K B</t>
  </si>
  <si>
    <t>LUCIANO CHEN</t>
  </si>
  <si>
    <t>ANTONELLA LEHM SORIA</t>
  </si>
  <si>
    <t>SOFIA SAAVEDRA</t>
  </si>
  <si>
    <t>LUCAS DE LIMA</t>
  </si>
  <si>
    <t>KYLE AUSTIN HUANG</t>
  </si>
  <si>
    <t>KAYSEN HUANG</t>
  </si>
  <si>
    <t>NOAH ARAMAYO</t>
  </si>
  <si>
    <t>ANA FABIA SALINAS</t>
  </si>
  <si>
    <t>FEDERICO KEMPFF</t>
  </si>
  <si>
    <t>RAFAELA BALDIVIESO</t>
  </si>
  <si>
    <t>FRANCO BALDIVIESO</t>
  </si>
  <si>
    <t>PIA ARACELY DELGADILLO</t>
  </si>
  <si>
    <t>JULIANA NAVARRO BROWN</t>
  </si>
  <si>
    <t>CRISTIAN NAVARRO BROWN</t>
  </si>
  <si>
    <t>IRENE NAVARRO BROWN</t>
  </si>
  <si>
    <t>ARI SCHAYMAN</t>
  </si>
  <si>
    <t>LIAM MCPHEE</t>
  </si>
  <si>
    <t>KINDER A</t>
  </si>
  <si>
    <t>MIA MCPHEE</t>
  </si>
  <si>
    <t>MARIA NUÑEZ MATIENZO</t>
  </si>
  <si>
    <t>KINDER C</t>
  </si>
  <si>
    <t>PRE K A</t>
  </si>
  <si>
    <t>RAFAEL VILLAROEL</t>
  </si>
  <si>
    <t>CATALINA SALAZAR</t>
  </si>
  <si>
    <t>LEONARDO SALAZAR CASTEDO</t>
  </si>
  <si>
    <t>ROSA ELENA NOGALES</t>
  </si>
  <si>
    <t>KINDER B</t>
  </si>
  <si>
    <t>TEO CONTRERAS</t>
  </si>
  <si>
    <t>CARLOS ANDRE AÑEZ</t>
  </si>
  <si>
    <t>ENZO VELASCO</t>
  </si>
  <si>
    <t>FELIPE VELASCO</t>
  </si>
  <si>
    <t>PAULA VELASCO</t>
  </si>
  <si>
    <t>BRUNA GUTIERREZ</t>
  </si>
  <si>
    <t>LETICIA SILVIA</t>
  </si>
  <si>
    <t>MATEO CIRBIAN</t>
  </si>
  <si>
    <t>FELIPE MORALES</t>
  </si>
  <si>
    <t>JULIO FARID NACIF</t>
  </si>
  <si>
    <t xml:space="preserve">MILAN NACIF </t>
  </si>
  <si>
    <t>JULIETA JUSTINIANO FERRA</t>
  </si>
  <si>
    <t>FRANCO JUSTINIANO</t>
  </si>
  <si>
    <t>LUCIANA RUBIN</t>
  </si>
  <si>
    <t xml:space="preserve">MACIEL NASSAR </t>
  </si>
  <si>
    <t>JUAN JOSE SALDIAS</t>
  </si>
  <si>
    <t>CAMILA ROCA MANCIA</t>
  </si>
  <si>
    <t>SERGIO ESTENSSORO DAVID</t>
  </si>
  <si>
    <t>IGNACIO OSTRIA</t>
  </si>
  <si>
    <t>CATALINA OSTRIA</t>
  </si>
  <si>
    <t>MARTINA MANRIQUE</t>
  </si>
  <si>
    <t>ALICIA LINALE</t>
  </si>
  <si>
    <t xml:space="preserve">ELIOT LINALE </t>
  </si>
  <si>
    <t>HORARIO ESCOLAR 11:25</t>
  </si>
  <si>
    <t>FRANCESCA ANTELO</t>
  </si>
  <si>
    <t>ALEXIA MORGAN</t>
  </si>
  <si>
    <t>AMBER MORGAN</t>
  </si>
  <si>
    <t>IVES DE CHAZAL</t>
  </si>
  <si>
    <t>AVRIL NACIF</t>
  </si>
  <si>
    <t>CAROLINA CUELLAR</t>
  </si>
  <si>
    <t>DOMINIQUE ARRUE</t>
  </si>
  <si>
    <t>LUCIENNE ARRUE</t>
  </si>
  <si>
    <t>ADRIANA SEAS</t>
  </si>
  <si>
    <t>CARLOS PABLO MONTERO</t>
  </si>
  <si>
    <t>LUIS SANTIAGO SALDIAS</t>
  </si>
  <si>
    <t>DIEGO ALONSO VEGA</t>
  </si>
  <si>
    <t>PRE K C</t>
  </si>
  <si>
    <t>FEDERICO MEYER DIAZ</t>
  </si>
  <si>
    <t xml:space="preserve">ISABELLA GONZALES </t>
  </si>
  <si>
    <t>MARIA ALEJANDRA ARDILLA</t>
  </si>
  <si>
    <t>JOAQUIN ARZE</t>
  </si>
  <si>
    <t>LEVI MUFF</t>
  </si>
  <si>
    <t>PIA MACAGNO AÑEZ</t>
  </si>
  <si>
    <t>LUANA TORRICO</t>
  </si>
  <si>
    <t>FRANCO FERNANDEZ</t>
  </si>
  <si>
    <t>PABLO ANDRES JUSTINIANO</t>
  </si>
  <si>
    <t>ADRIAN SPECHAR</t>
  </si>
  <si>
    <t>CAMILA SPECHAR</t>
  </si>
  <si>
    <t>CATALINA MORILLO</t>
  </si>
  <si>
    <t>LUIS BENJAMIN SEJAS</t>
  </si>
  <si>
    <t xml:space="preserve">MATEO FERNANDEZ </t>
  </si>
  <si>
    <t>FELIPE ESPAÑA</t>
  </si>
  <si>
    <t>AGUSTINA SANDOVAL</t>
  </si>
  <si>
    <t>DONATELLA ALIS</t>
  </si>
  <si>
    <t>AGUSTIN PEREYRA</t>
  </si>
  <si>
    <t>SARA AÑEZ</t>
  </si>
  <si>
    <t>ADRIANO MUÑOZ</t>
  </si>
  <si>
    <t>SOFIA MENDEZ</t>
  </si>
  <si>
    <t>DASHA ALIS</t>
  </si>
  <si>
    <t>VALENTINA NOSTAS</t>
  </si>
  <si>
    <t>LEONARDO SERRANO</t>
  </si>
  <si>
    <t>LEONARDO TAVERA</t>
  </si>
  <si>
    <t>HENRIQUE MURANO</t>
  </si>
  <si>
    <t>IRENE DIAZ</t>
  </si>
  <si>
    <t>NICOLAS PASCUAL</t>
  </si>
  <si>
    <t>DOLLY LOPEZ</t>
  </si>
  <si>
    <t>SAMUEL SAAVEDRA</t>
  </si>
  <si>
    <t>BENEDETTA GIANINI</t>
  </si>
  <si>
    <t>FIORELLA VISCARRA</t>
  </si>
  <si>
    <t>GABRIELA PAREJAS</t>
  </si>
  <si>
    <t>LIZ GONZALES</t>
  </si>
  <si>
    <t>TAMARA MANSILLA</t>
  </si>
  <si>
    <t>MEENA TORREZ</t>
  </si>
  <si>
    <t>FLORENCIA VISCARRA</t>
  </si>
  <si>
    <t>JORGE FRANCO</t>
  </si>
  <si>
    <t>LUCAS TEODOVICH</t>
  </si>
  <si>
    <t>CAMILA CADARIO</t>
  </si>
  <si>
    <t>SOFIA TAVERA</t>
  </si>
  <si>
    <t>OLIVIA AYAVIRI</t>
  </si>
  <si>
    <t>PABLO AYAVIRI</t>
  </si>
  <si>
    <t>RENATA ZAMORA</t>
  </si>
  <si>
    <t>MARCELY QUIROGA</t>
  </si>
  <si>
    <t>RAFAEL NICOLAS FISCHER</t>
  </si>
  <si>
    <t>GAIL LOZA</t>
  </si>
  <si>
    <t>MIA FORGUET</t>
  </si>
  <si>
    <t>OLIVIA BARBA</t>
  </si>
  <si>
    <t>LUCAS SUAREZ</t>
  </si>
  <si>
    <t>IVANA VERA</t>
  </si>
  <si>
    <t>RAI PACHECO</t>
  </si>
  <si>
    <t>MARTINA LANTERI</t>
  </si>
  <si>
    <t>SABINE CESPEDES</t>
  </si>
  <si>
    <t>DIEGO MARTINEZ</t>
  </si>
  <si>
    <t>LEONARDO MARTINEZ</t>
  </si>
  <si>
    <t>ANIKA MARTINEZ</t>
  </si>
  <si>
    <t>MATEO BOWEN CHEN</t>
  </si>
  <si>
    <t>BRADLEY MORGAN</t>
  </si>
  <si>
    <t>AMELIE ANTELO</t>
  </si>
  <si>
    <t>NABILA ACOURI</t>
  </si>
  <si>
    <t>BRUNA SOLJANCIC</t>
  </si>
  <si>
    <t>MATEO ANTELO</t>
  </si>
  <si>
    <t>LUCAS DANIEL SAAVEDRA</t>
  </si>
  <si>
    <t>SANTIAGO CORTEZ</t>
  </si>
  <si>
    <t>NATALIA MENDEZ</t>
  </si>
  <si>
    <t>SARA VALENTINA VARGAS</t>
  </si>
  <si>
    <t>OSCAR GUTIERREZ</t>
  </si>
  <si>
    <t>ALMA ISAIS</t>
  </si>
  <si>
    <t>ENRIQUE CRONEMBOLD</t>
  </si>
  <si>
    <t>JULIETA DURAN</t>
  </si>
  <si>
    <t>FLORENCIA SUAREZ</t>
  </si>
  <si>
    <t>JORGE LOPEZ</t>
  </si>
  <si>
    <t>TIAGO MUÑOZ</t>
  </si>
  <si>
    <t>LOURDES DURAN</t>
  </si>
  <si>
    <t>ILAN GUILLEN</t>
  </si>
  <si>
    <t xml:space="preserve">SOFIA ROCA </t>
  </si>
  <si>
    <t>ALHENA TALAMAS</t>
  </si>
  <si>
    <t>NICOLAS ARZE</t>
  </si>
  <si>
    <t>VICTORIA VILLAVICENCIO</t>
  </si>
  <si>
    <t>NICOLE  SUAREZ</t>
  </si>
  <si>
    <t>ROBERTO RIVERO</t>
  </si>
  <si>
    <t>VICTORIA ARGANDOÑA</t>
  </si>
  <si>
    <t>PAULINA ARGANDOÑA</t>
  </si>
  <si>
    <t>RENATA VESPA</t>
  </si>
  <si>
    <t>MICAELA CAPOBIANCO</t>
  </si>
  <si>
    <t>NOEMI ARAMBURO</t>
  </si>
  <si>
    <t>FRANCO OLLER</t>
  </si>
  <si>
    <t>MAXIMILIANO OLLER</t>
  </si>
  <si>
    <t>AGUSTIN BRÜCKNER</t>
  </si>
  <si>
    <t>VALENTINA VILLA</t>
  </si>
  <si>
    <t>INES ELIZALDE</t>
  </si>
  <si>
    <t>HANS CALDERON</t>
  </si>
  <si>
    <t>SERGIO CALDERON</t>
  </si>
  <si>
    <t>ALESSANDRA BARBA</t>
  </si>
  <si>
    <t>SANTINO RIBERA</t>
  </si>
  <si>
    <t>ISABELA MORILLO</t>
  </si>
  <si>
    <t>BRUNO COMPANY</t>
  </si>
  <si>
    <t>FRANCHESCA SUESCUN</t>
  </si>
  <si>
    <t>PABLO JUSTINIANO RODRIGUEZ</t>
  </si>
  <si>
    <t>ANDRES PARADA</t>
  </si>
  <si>
    <t>PABLO RADIC</t>
  </si>
  <si>
    <t>BENJAMI LUPO</t>
  </si>
  <si>
    <t>MARIO VALENZUELA</t>
  </si>
  <si>
    <t>VALENTIN BALDIVIESO</t>
  </si>
  <si>
    <t>ANA LUCIA ROSADO</t>
  </si>
  <si>
    <t>AGUSTIN SALINAS</t>
  </si>
  <si>
    <t>LUCIANA SAAVEDRA</t>
  </si>
  <si>
    <t>ANTONIO SORIA</t>
  </si>
  <si>
    <t>LUCIA WEIDLING</t>
  </si>
  <si>
    <t>SOFIA IRIARTE</t>
  </si>
  <si>
    <t>ANITA IRIARTE</t>
  </si>
  <si>
    <t>TIAGO ARAUJO</t>
  </si>
  <si>
    <t>SEBASTIAN GUZMAN</t>
  </si>
  <si>
    <t>FERNANDO BERRANACHEA</t>
  </si>
  <si>
    <t>CATALINA SUAREZ</t>
  </si>
  <si>
    <t>SAMUEL VILLAVICENCIO</t>
  </si>
  <si>
    <t>MILAN ANTEZANA</t>
  </si>
  <si>
    <t>LUCAS ARAUJO</t>
  </si>
  <si>
    <t>DELFINA VACARREZA</t>
  </si>
  <si>
    <t>ISABELA MERCADO</t>
  </si>
  <si>
    <t>SEBASTIAN PINELL</t>
  </si>
  <si>
    <t>XUE YONG CHEN</t>
  </si>
  <si>
    <t>HORARIO PRE ESCOLAR 11:50</t>
  </si>
  <si>
    <t>MILAN CRONENBOLD</t>
  </si>
  <si>
    <t>FRANCESCA MURILO</t>
  </si>
  <si>
    <t>BRUNA ECHART</t>
  </si>
  <si>
    <t>LUIS ESTEBAN JUSTINIANO</t>
  </si>
  <si>
    <t>ANA CATALINA ASBUN</t>
  </si>
  <si>
    <t>AINOA ARCE</t>
  </si>
  <si>
    <t>ANIA CALVO</t>
  </si>
  <si>
    <t>ANTONELLA BERRENDERO</t>
  </si>
  <si>
    <t>BENJAMIN HANDAL</t>
  </si>
  <si>
    <t>CALEB GONG PACO</t>
  </si>
  <si>
    <t>CELESTE BALCAZAR</t>
  </si>
  <si>
    <t>HELENA BARBIERI</t>
  </si>
  <si>
    <t>INI KNEZ</t>
  </si>
  <si>
    <t>JORGE JIMENEZ</t>
  </si>
  <si>
    <t>JUAN ALEJANDRO MONTALVO</t>
  </si>
  <si>
    <t xml:space="preserve">PRE K A </t>
  </si>
  <si>
    <t>KARINA SOSA</t>
  </si>
  <si>
    <t>MARTINA CAMACHO</t>
  </si>
  <si>
    <t>MATEO PEREYRA</t>
  </si>
  <si>
    <t>MELINA CARRASCO</t>
  </si>
  <si>
    <t>MIA CALVO</t>
  </si>
  <si>
    <t>OLIVIA WEIDLIG</t>
  </si>
  <si>
    <t>OMAR TAVERA</t>
  </si>
  <si>
    <t>PATRICIO PARRADO</t>
  </si>
  <si>
    <t>RAFAEL CASTILLO</t>
  </si>
  <si>
    <t>RAFAELA RITTER</t>
  </si>
  <si>
    <t>VALENTINA PATIÑO</t>
  </si>
  <si>
    <t>VICTORIA ARZE</t>
  </si>
  <si>
    <t>WALTER ANTONIO GUARDIA</t>
  </si>
  <si>
    <t xml:space="preserve">YAZID GUARDIA </t>
  </si>
  <si>
    <t>AARON JIMENEZ</t>
  </si>
  <si>
    <t>ABIGAIL PARADA</t>
  </si>
  <si>
    <t>ABRIL NUÑEZ</t>
  </si>
  <si>
    <t>AITANA SARDAN</t>
  </si>
  <si>
    <t>ANDRES AÑEZ</t>
  </si>
  <si>
    <t>ALINA ARCE</t>
  </si>
  <si>
    <t>AMANDA CIRBIAN</t>
  </si>
  <si>
    <t>ARIUS BAUTISTA</t>
  </si>
  <si>
    <t>BRUNO VACA PEREIRA</t>
  </si>
  <si>
    <t>CANDY PACHECO</t>
  </si>
  <si>
    <t>CAYETANA AQUIM</t>
  </si>
  <si>
    <t>DAVID EMANUEL RIVERO</t>
  </si>
  <si>
    <t>EVIE DAVIES</t>
  </si>
  <si>
    <t>FELIPE NAVARRO</t>
  </si>
  <si>
    <t>FRANCO CLAURE</t>
  </si>
  <si>
    <t>IGNACIO SUAREZ</t>
  </si>
  <si>
    <t>JUAN BACARREZA</t>
  </si>
  <si>
    <t>JORGE ARZE</t>
  </si>
  <si>
    <t>JOSE EMILIO SALDIAS</t>
  </si>
  <si>
    <t>JULIETA CAMACHO</t>
  </si>
  <si>
    <t>LUCAS KLAPP</t>
  </si>
  <si>
    <t>LUCIA PINELL</t>
  </si>
  <si>
    <t>LUIS ENRIQUE GALVAN</t>
  </si>
  <si>
    <t>MACARENA PESTANA</t>
  </si>
  <si>
    <t>MARTINA CONTRERAS</t>
  </si>
  <si>
    <t>MARTINA PAZ</t>
  </si>
  <si>
    <t>MAURICIO WENDE</t>
  </si>
  <si>
    <t>MICAELA MORENO</t>
  </si>
  <si>
    <t>MICAELA NAVIA</t>
  </si>
  <si>
    <t>MIGUEL ANGEL CHAVEZ</t>
  </si>
  <si>
    <t>MIRANDA CESPEDES</t>
  </si>
  <si>
    <t>NAOMI TERAN</t>
  </si>
  <si>
    <t>NICHOLAS CESPEDES</t>
  </si>
  <si>
    <t>OTTO GONZALES</t>
  </si>
  <si>
    <t>PAULINA VILLAVICENCIO</t>
  </si>
  <si>
    <t>RAFAELA PERALES</t>
  </si>
  <si>
    <t>RAFAEL VILLAVICENCIO</t>
  </si>
  <si>
    <t>REGINA GUTIERREZ</t>
  </si>
  <si>
    <t>SANTIAGO ALVAREZ</t>
  </si>
  <si>
    <t>SANTIAGO FORONDA</t>
  </si>
  <si>
    <t>SARA VIERA</t>
  </si>
  <si>
    <t>SOFIA ARCE</t>
  </si>
  <si>
    <t>TAREK ACOURI</t>
  </si>
  <si>
    <t>VICTORIA SALOME</t>
  </si>
  <si>
    <t>VEDRAN GARAFULIC</t>
  </si>
  <si>
    <t>ADRI FERRERO</t>
  </si>
  <si>
    <t>ADRIELYV GONG PACO</t>
  </si>
  <si>
    <t>AGUSTIN PINELL</t>
  </si>
  <si>
    <t>AUGUSTO NUMBERG</t>
  </si>
  <si>
    <t>ALONSO CASTRO</t>
  </si>
  <si>
    <t>AMELIA MOLINA</t>
  </si>
  <si>
    <t>ANTONIA NUMBERG</t>
  </si>
  <si>
    <t>ARIANA HANDAL</t>
  </si>
  <si>
    <t>BLANCA GIRONAS</t>
  </si>
  <si>
    <t xml:space="preserve">CATALINA ASBUN </t>
  </si>
  <si>
    <t>DIEVAS BAUTISTA</t>
  </si>
  <si>
    <t>ELSA POLO NARANJO</t>
  </si>
  <si>
    <t>EMMA VICTORIA DAJER</t>
  </si>
  <si>
    <t>FABRICIO ROCA</t>
  </si>
  <si>
    <t>FRANCO MOLINA</t>
  </si>
  <si>
    <t>HANNA RIVAS</t>
  </si>
  <si>
    <t>ISABELLA CASTRO</t>
  </si>
  <si>
    <t>ISABELA PESTANA</t>
  </si>
  <si>
    <t>JORGE KEFFER</t>
  </si>
  <si>
    <t>JULIAN GALLARDO</t>
  </si>
  <si>
    <t xml:space="preserve">JULIO CESAR ASBUN </t>
  </si>
  <si>
    <t>KEILA PACHECO</t>
  </si>
  <si>
    <t>LUCIA GUILLEN</t>
  </si>
  <si>
    <t>LUCIANA BALCAZAR</t>
  </si>
  <si>
    <t>MARCELA MUÑOZ</t>
  </si>
  <si>
    <t>MARTINA RADIC</t>
  </si>
  <si>
    <t>MARIA LIA PEREZ</t>
  </si>
  <si>
    <t>MAURO LA FUENTE</t>
  </si>
  <si>
    <t>MICAELA GIL</t>
  </si>
  <si>
    <t>NICOLAS PARRADO</t>
  </si>
  <si>
    <t>OLIVIA GALLARDO</t>
  </si>
  <si>
    <t>PATRICIA WENDE</t>
  </si>
  <si>
    <t>RAFAEL CAMACHO</t>
  </si>
  <si>
    <t>RAFAEL PARRA</t>
  </si>
  <si>
    <t>RAFAEL TERAN</t>
  </si>
  <si>
    <t>SARA CAMACHO</t>
  </si>
  <si>
    <t>SARA SEBASTIAN DOCKWEILER</t>
  </si>
  <si>
    <t>SALOMON JIMENEZ</t>
  </si>
  <si>
    <t>SAMUEL ZAMORA</t>
  </si>
  <si>
    <t>SERGIO POLO NARANJO</t>
  </si>
  <si>
    <t>TAMARA DE CHAZAL</t>
  </si>
  <si>
    <t>VICENTE ARZE</t>
  </si>
  <si>
    <t>VICTORIA LARRAIN</t>
  </si>
  <si>
    <t>VICTORIA GALVAN</t>
  </si>
  <si>
    <t>VICTORIA BOWLES</t>
  </si>
  <si>
    <t>ZOE NAVARRO</t>
  </si>
  <si>
    <t>ALDO FORTI</t>
  </si>
  <si>
    <t>ALVARO REVILLA</t>
  </si>
  <si>
    <t>ARIANA RIVAS</t>
  </si>
  <si>
    <t>CHLOE DEDROOG</t>
  </si>
  <si>
    <t>DARIO MORENO</t>
  </si>
  <si>
    <t>DIEGO ROCA</t>
  </si>
  <si>
    <t>EMA GARAFULIC</t>
  </si>
  <si>
    <t>IAN KNEZ</t>
  </si>
  <si>
    <t>IRENE JAHNSEN</t>
  </si>
  <si>
    <t>JULIANA AÑEZ</t>
  </si>
  <si>
    <t>RAFAEL MORENO</t>
  </si>
  <si>
    <t>RODRIGO SCHIRMER</t>
  </si>
  <si>
    <t>SAMUEL AGUILAR</t>
  </si>
  <si>
    <t>SEBASTIAN ESCOBAR</t>
  </si>
  <si>
    <t>SOFIA REVILLA</t>
  </si>
  <si>
    <t>VICTORIA SOLARES</t>
  </si>
  <si>
    <t>VIVIENNE TAYLOR</t>
  </si>
  <si>
    <t>ALEXIA RIBERA</t>
  </si>
  <si>
    <t>ALEJANDRO QUIROGA</t>
  </si>
  <si>
    <t>ANIA ARAUZ</t>
  </si>
  <si>
    <t>ANIK PETERSEN</t>
  </si>
  <si>
    <t>ANDRES GALDOS</t>
  </si>
  <si>
    <t>BASTIAN GARECA</t>
  </si>
  <si>
    <t>BRUNA VALDEZ</t>
  </si>
  <si>
    <t>CAMILA ROSALES</t>
  </si>
  <si>
    <t>CATALINA MORALES</t>
  </si>
  <si>
    <t>FLORENCIA ZAMORA</t>
  </si>
  <si>
    <t>IGNACIO JUSTINIANO</t>
  </si>
  <si>
    <t>IRENE PAREJAS</t>
  </si>
  <si>
    <t>JOSEFINA MILLAN</t>
  </si>
  <si>
    <t>KAREL AGUAYO</t>
  </si>
  <si>
    <t>LEANDRO CLAURE</t>
  </si>
  <si>
    <t>LARA TORREZ</t>
  </si>
  <si>
    <t>LUCIANA SABA</t>
  </si>
  <si>
    <t>MAITE CORTEZ</t>
  </si>
  <si>
    <t>MAITE JUSTINIANO</t>
  </si>
  <si>
    <t>MAITE MORENO</t>
  </si>
  <si>
    <t>MARIETTA SCHIRMER</t>
  </si>
  <si>
    <t>MARIAM JUSTINIANO</t>
  </si>
  <si>
    <t>MARTINA PARRA</t>
  </si>
  <si>
    <t>NATALY PARADA</t>
  </si>
  <si>
    <t>NEPTALI VILLANUEVA</t>
  </si>
  <si>
    <t>NICOLAS SOLARES</t>
  </si>
  <si>
    <t>NICOLAS PEREYRA</t>
  </si>
  <si>
    <t>OLIVIA BASAURE</t>
  </si>
  <si>
    <t>OLIVIA DABDOUB</t>
  </si>
  <si>
    <t>OLIVIA GUTIERREZ</t>
  </si>
  <si>
    <t>RENATA MURILLO</t>
  </si>
  <si>
    <t>RODRIGO SOLARES</t>
  </si>
  <si>
    <t>SAMUEL CANELAS</t>
  </si>
  <si>
    <t>SAMUEL OROZA</t>
  </si>
  <si>
    <t>SARA MARIA WENDE</t>
  </si>
  <si>
    <t>SOFIA TOSCANO</t>
  </si>
  <si>
    <t>VALENTINA SEAS</t>
  </si>
  <si>
    <t>VALENTINA NAVIA</t>
  </si>
  <si>
    <t>MENU FIT</t>
  </si>
  <si>
    <t>LUCIANA PERROGON</t>
  </si>
  <si>
    <t>OLIVIA PERROGON</t>
  </si>
  <si>
    <t>PIETRO COSTA</t>
  </si>
  <si>
    <t>JEREMY BLINDER</t>
  </si>
  <si>
    <t>JOHN BLINDER</t>
  </si>
  <si>
    <t>CARLOS EDUARDO ROJAS</t>
  </si>
  <si>
    <t xml:space="preserve">JULIA CHESHIER </t>
  </si>
  <si>
    <t>SEBASTIAN ESPINOSA</t>
  </si>
  <si>
    <t>FERNANDO AGUIRRE</t>
  </si>
  <si>
    <t>FERNANDA GONZALES</t>
  </si>
  <si>
    <t>MARCELO PEREIRA</t>
  </si>
  <si>
    <t>LUNCH + MERIENDA</t>
  </si>
  <si>
    <t>VICENTE PALAZUELOS</t>
  </si>
  <si>
    <t>VICENTE CRONENBOLD</t>
  </si>
  <si>
    <t>ABIGAIL GONG PACO</t>
  </si>
  <si>
    <t>ANDRES NACIF</t>
  </si>
  <si>
    <t>AUSTIN HUANG</t>
  </si>
  <si>
    <t>.</t>
  </si>
  <si>
    <t>2PB</t>
  </si>
  <si>
    <t xml:space="preserve">ALAIN NUÑEZ </t>
  </si>
  <si>
    <t>ALEXIA QUIROGA</t>
  </si>
  <si>
    <t>SALVADOR SALOME</t>
  </si>
  <si>
    <t>ANTONIO DUARTE</t>
  </si>
  <si>
    <t>DOMIQUE DUARTE</t>
  </si>
  <si>
    <t>DAYRAW VEDIA</t>
  </si>
  <si>
    <t>KINDER</t>
  </si>
  <si>
    <t>1PA</t>
  </si>
  <si>
    <t>ELA CALVO</t>
  </si>
  <si>
    <t>1PB</t>
  </si>
  <si>
    <t>3PA</t>
  </si>
  <si>
    <t>5PA</t>
  </si>
  <si>
    <t>JUAN CARLOS VELASCO</t>
  </si>
  <si>
    <t>SIMON LONSDALE</t>
  </si>
  <si>
    <t>THOMAS LONSDALE</t>
  </si>
  <si>
    <t>6PA</t>
  </si>
  <si>
    <t>6PB</t>
  </si>
  <si>
    <t>4PB</t>
  </si>
  <si>
    <t>MELISA ZOE PATIÑO</t>
  </si>
  <si>
    <t>JULIETA LANTERI</t>
  </si>
  <si>
    <t>5PB</t>
  </si>
  <si>
    <t>RAFAELA VACA PEREIRA</t>
  </si>
  <si>
    <t>MARTINA JUSTINIANO</t>
  </si>
  <si>
    <t>OSCAR JUSTINIANO</t>
  </si>
  <si>
    <t>EMILIA ZHANG</t>
  </si>
  <si>
    <t>3PB</t>
  </si>
  <si>
    <t>OLIVIA ZHANG</t>
  </si>
  <si>
    <t>VIVIAN ZHANG</t>
  </si>
  <si>
    <t>3SA</t>
  </si>
  <si>
    <t>SANTIAGO GONZALEZ</t>
  </si>
  <si>
    <t>JERRY FLORES LI</t>
  </si>
  <si>
    <t>ALEXANDER VON BORRIES</t>
  </si>
  <si>
    <t>CRISTOPHER VON BORRIES</t>
  </si>
  <si>
    <t>ALIYAH CESPEDES</t>
  </si>
  <si>
    <t>ADANAE ARCE</t>
  </si>
  <si>
    <t>ANDRES SEAS</t>
  </si>
  <si>
    <t>AGUSTINA ROCA</t>
  </si>
  <si>
    <t>FRANCO BARBA</t>
  </si>
  <si>
    <t>MAURO BARBA</t>
  </si>
  <si>
    <t>4PA</t>
  </si>
  <si>
    <t>ANDRES RICO</t>
  </si>
  <si>
    <t>MATIAS RICO</t>
  </si>
  <si>
    <t>IÑIGO ISAIAS</t>
  </si>
  <si>
    <t>RODRIGO CAPOBIANCO</t>
  </si>
  <si>
    <t>ROBERTO PARRA</t>
  </si>
  <si>
    <t>GINA ANTONELLA MARQUEZ</t>
  </si>
  <si>
    <t>RENATO MARTINS</t>
  </si>
  <si>
    <t>JOAQUIN NAIM</t>
  </si>
  <si>
    <t>VICTORIA RIVERO</t>
  </si>
  <si>
    <t>SIMONE CESPEDES</t>
  </si>
  <si>
    <t>SOFIA BARBA</t>
  </si>
  <si>
    <t>JOSE CAMILO MAMANI</t>
  </si>
  <si>
    <t>GIULIANNA DEL CAMPO</t>
  </si>
  <si>
    <t>SOFIA RIVERA</t>
  </si>
  <si>
    <t>JORGE BALCAZAR</t>
  </si>
  <si>
    <t>HERMAN MOSKALEV</t>
  </si>
  <si>
    <t>LUCAS PEREYRA</t>
  </si>
  <si>
    <t>JOSE LUIS PEREDO</t>
  </si>
  <si>
    <t>NICOLAS TERCEROS</t>
  </si>
  <si>
    <t>LUCAS BELMONTE</t>
  </si>
  <si>
    <t>WALTER ARZABE</t>
  </si>
  <si>
    <t>LOLA COSTA</t>
  </si>
  <si>
    <t>MARIA BELEN TAVERA</t>
  </si>
  <si>
    <t>ANA SOFIA NARVAEZ</t>
  </si>
  <si>
    <t>LUIS ERNESTO AGUILERA</t>
  </si>
  <si>
    <t>MIKEL RUIZ</t>
  </si>
  <si>
    <t>SEBASTIAN DIAZ</t>
  </si>
  <si>
    <t>OCTOVIO BELMONTE</t>
  </si>
  <si>
    <t>DAMOON  KHOUBBAKHT</t>
  </si>
  <si>
    <t>1SB</t>
  </si>
  <si>
    <t>SARA  MARIA ROJAS</t>
  </si>
  <si>
    <t>JULIETA PARADA</t>
  </si>
  <si>
    <t>MARIANO MEDINA</t>
  </si>
  <si>
    <t>ALMUERZO + MERIENDA</t>
  </si>
  <si>
    <t>MARIA FERNANDA DEL FORNO</t>
  </si>
  <si>
    <t>HELENA ANTONIA JUSTINIANO</t>
  </si>
  <si>
    <t>DAMINA KHOUBBAKHT</t>
  </si>
  <si>
    <t>DANIEL KHOUBBAKHT</t>
  </si>
  <si>
    <t>SAMIRA LOPEZ</t>
  </si>
  <si>
    <t>JIMMY SYTIC</t>
  </si>
  <si>
    <t>JORGE GUTIERREZ</t>
  </si>
  <si>
    <t>3SB</t>
  </si>
  <si>
    <t>MAXIMILIANO MCLEAN</t>
  </si>
  <si>
    <t>MIKEL ORMACHEA</t>
  </si>
  <si>
    <t>SANTIAGO CANEDO</t>
  </si>
  <si>
    <t>STEFANO CANEDO</t>
  </si>
  <si>
    <t>JULIANA RIVERO</t>
  </si>
  <si>
    <t>ARIANA REVILLA</t>
  </si>
  <si>
    <t>ANDROS COCHAMADINIS</t>
  </si>
  <si>
    <t>NICOLE SUAREZ</t>
  </si>
  <si>
    <t>ANA FABIA PARADA</t>
  </si>
  <si>
    <t>2PA</t>
  </si>
  <si>
    <t>ALONSO VIERA</t>
  </si>
  <si>
    <t>SAMANTHA VIERA</t>
  </si>
  <si>
    <t>LEON VALDEZ</t>
  </si>
  <si>
    <t>FRANCHESCA RITTER</t>
  </si>
  <si>
    <t>CATARINA ALMEIDA</t>
  </si>
  <si>
    <t>ISADORA ALMEIDA</t>
  </si>
  <si>
    <t>FEDERICO ARAMAYO</t>
  </si>
  <si>
    <t>DIEGO VERGARA</t>
  </si>
  <si>
    <t>ANA LUCIA QUINTELA</t>
  </si>
  <si>
    <t>BRUNO REVILLA</t>
  </si>
  <si>
    <t>YUSSER VILLAROEL</t>
  </si>
  <si>
    <t>ELENA DAROCA</t>
  </si>
  <si>
    <t>NICOLAS MERCADO</t>
  </si>
  <si>
    <t>4SA</t>
  </si>
  <si>
    <t>SANTINO VERGARA</t>
  </si>
  <si>
    <t>MARTIN FERNANDEZ</t>
  </si>
  <si>
    <t>4SB</t>
  </si>
  <si>
    <t>FRANCISCO MONTAÑO</t>
  </si>
  <si>
    <t>ELENOR ARAMAYO</t>
  </si>
  <si>
    <t>AITANA KNEZ</t>
  </si>
  <si>
    <t>AMANDA CASTEDO</t>
  </si>
  <si>
    <t>BRUNO PATIÑO</t>
  </si>
  <si>
    <t>LUCIANO SUAREZ</t>
  </si>
  <si>
    <t>SI MILA DE POLLO</t>
  </si>
  <si>
    <t>MAURO LAFUENTE MERCADO</t>
  </si>
  <si>
    <t>ANA MARIA ARROYAVE</t>
  </si>
  <si>
    <t>LUCIA MORALES</t>
  </si>
  <si>
    <t>JORGE JUSTINIANO</t>
  </si>
  <si>
    <t>ISABELA CAMPOS</t>
  </si>
  <si>
    <t>MARTINA COMPANY</t>
  </si>
  <si>
    <t>SAMANTHA LOAYZA</t>
  </si>
  <si>
    <t>YU MO WU LI</t>
  </si>
  <si>
    <t>MARIA PIA ALVAREZ</t>
  </si>
  <si>
    <t>IGNACION OSTRIA</t>
  </si>
  <si>
    <t>VALENTINA MILLAN</t>
  </si>
  <si>
    <t>TOMAS MUÑOZ</t>
  </si>
  <si>
    <t>JOAQUIN LOPEZ</t>
  </si>
  <si>
    <t>2SA</t>
  </si>
  <si>
    <t>SAMUEL PARADA</t>
  </si>
  <si>
    <t>NAZLI ACOURI</t>
  </si>
  <si>
    <t>MIA ISABELLA SOLIZ</t>
  </si>
  <si>
    <t>MARIANO ECHAZU</t>
  </si>
  <si>
    <t>1SA</t>
  </si>
  <si>
    <t>ISABELA O CONNOR</t>
  </si>
  <si>
    <t>5SB</t>
  </si>
  <si>
    <t>CATALINA LEYTON</t>
  </si>
  <si>
    <t>DAVID PEREDO</t>
  </si>
  <si>
    <t>AGUSTINA PATIÑO</t>
  </si>
  <si>
    <t>CAMILA KIARA MAMANI</t>
  </si>
  <si>
    <t>MARIA JOSE ARROYAVE</t>
  </si>
  <si>
    <t>ANDRES BRUCKNER</t>
  </si>
  <si>
    <t>VICTORIA SEAS</t>
  </si>
  <si>
    <t>CATALINA ADAD</t>
  </si>
  <si>
    <t>SUNG HEE CHIN</t>
  </si>
  <si>
    <t>ANDIARA SUAREZ</t>
  </si>
  <si>
    <t>ALEXANDRA ARNEZ</t>
  </si>
  <si>
    <t>LEONARDO VIVADO</t>
  </si>
  <si>
    <t>ISABELLA CASTRO GUTIERREZ</t>
  </si>
  <si>
    <t>CAROLINA DEL SOLAR</t>
  </si>
  <si>
    <t>REGISTRAR TODOS LOS LUNES</t>
  </si>
  <si>
    <t>FABIANA PACHECO</t>
  </si>
  <si>
    <t>HORARIO ESCOLAR 12:00</t>
  </si>
  <si>
    <t>MARIANO CHAVEZ</t>
  </si>
  <si>
    <t xml:space="preserve">LUNCH + MERIENDA </t>
  </si>
  <si>
    <t>MARIANO MARTINEZ</t>
  </si>
  <si>
    <t>AZUL MARTINEZ</t>
  </si>
  <si>
    <t>SALVADOR GALINDO</t>
  </si>
  <si>
    <t>LUNES Y VIERNES</t>
  </si>
  <si>
    <t>CARMEN SOFIA SEJAS</t>
  </si>
  <si>
    <t>FACTURAR</t>
  </si>
  <si>
    <t>TODOS LOS LUNES</t>
  </si>
  <si>
    <t>NO CERDO NI EMBUTIDOS</t>
  </si>
  <si>
    <t>TOLERANCIA POR MIGRAÑA</t>
  </si>
  <si>
    <t>LUCIANA ANGULO</t>
  </si>
  <si>
    <t xml:space="preserve">CAMILA RODRIGUEZ </t>
  </si>
  <si>
    <t>STEFANO SGARABOTO</t>
  </si>
  <si>
    <t>NO CHEESEBURGER</t>
  </si>
  <si>
    <t>SEBASTIAN CANEDO</t>
  </si>
  <si>
    <t>LUCIANA CARTAGENA</t>
  </si>
  <si>
    <t>COBRAR A STUDENT 62890003</t>
  </si>
  <si>
    <t>NAZARENA VIERA</t>
  </si>
  <si>
    <t>SOLO AGUA</t>
  </si>
  <si>
    <t>SIENNA DUNLOP</t>
  </si>
  <si>
    <t>MATIAS SILES</t>
  </si>
  <si>
    <t>ZAIRA VIERA</t>
  </si>
  <si>
    <t xml:space="preserve">ALVARO RODRIGUEZ  EZEQUIEL </t>
  </si>
  <si>
    <t>MATEO ANGULO</t>
  </si>
  <si>
    <t>DANIEL MENDEZ</t>
  </si>
  <si>
    <t>MENU FIT LOS LUNES</t>
  </si>
  <si>
    <t>EMMA GARAFULIUC</t>
  </si>
  <si>
    <t>PECHUGA Y BIFE INTERCALADO</t>
  </si>
  <si>
    <t>ISABELA CANDIA</t>
  </si>
  <si>
    <t>ANDERE KNEZ</t>
  </si>
  <si>
    <t>MIGUEL GUTIERREZ</t>
  </si>
  <si>
    <t>NICOLAS CZERNIEWICZ</t>
  </si>
  <si>
    <t>MICHELLE JAUDE</t>
  </si>
  <si>
    <t xml:space="preserve">JULIETA FRANCO </t>
  </si>
  <si>
    <t>MARIA ROSARIO GALVIS</t>
  </si>
  <si>
    <t>FHARID GALVIS</t>
  </si>
  <si>
    <t>NO LASAGNA</t>
  </si>
  <si>
    <t xml:space="preserve">NO CERDO </t>
  </si>
  <si>
    <t xml:space="preserve">CATALINA PATIÑO </t>
  </si>
  <si>
    <t>STEPHAN MINK</t>
  </si>
  <si>
    <t>ALDANA PEREDO</t>
  </si>
  <si>
    <t>JOSE ERNESTO LOAYZA</t>
  </si>
  <si>
    <t>NO CERDO/NO EMBUTIDO</t>
  </si>
  <si>
    <t>HORARIO ESCOLAR 12:40</t>
  </si>
  <si>
    <t>OLIVER BALDIVIESO</t>
  </si>
  <si>
    <t>EMILIO FORTI</t>
  </si>
  <si>
    <t>FLAVIA ESTATUTI</t>
  </si>
  <si>
    <t>LEANDRO ESTATUTI</t>
  </si>
  <si>
    <t>ISABELA CASTELLANOS</t>
  </si>
  <si>
    <t>MANDAR MENU SNACKS</t>
  </si>
  <si>
    <t>AGUSTINA REVILLA</t>
  </si>
  <si>
    <t>SARA MARIA ROCA</t>
  </si>
  <si>
    <t>BARRETT CHESHIER</t>
  </si>
  <si>
    <t>AMANDA VALLE</t>
  </si>
  <si>
    <t xml:space="preserve">EMMA VEGA </t>
  </si>
  <si>
    <t>MERIENDA SOLO LUNES</t>
  </si>
  <si>
    <t>GUILLERMO ARZABE</t>
  </si>
  <si>
    <t>SAMUEL CAMPBELL</t>
  </si>
  <si>
    <t>GABRIEL FORONDA</t>
  </si>
  <si>
    <t>SOFIA INESA CHAVEZ</t>
  </si>
  <si>
    <t>NO MILANESA</t>
  </si>
  <si>
    <t xml:space="preserve">MENU FIT </t>
  </si>
  <si>
    <t>SOLO MERIENDA</t>
  </si>
  <si>
    <t>JULIETA MADARIAGA</t>
  </si>
  <si>
    <t>FRANCISCO ARCE</t>
  </si>
  <si>
    <t>4PBS</t>
  </si>
  <si>
    <t>`</t>
  </si>
  <si>
    <t>INTERCALAR PECHUGA Y BIFE</t>
  </si>
  <si>
    <t>NO BURRITO</t>
  </si>
  <si>
    <t>AGUSTIN BARBA</t>
  </si>
  <si>
    <t>MARTINA VISCARRA</t>
  </si>
  <si>
    <t>CAYETANA ARZABE</t>
  </si>
  <si>
    <t>BALTAZAR VERGARA</t>
  </si>
  <si>
    <t>NO PECETO/NO MAJADITO/NO BURRITO/NO MILA</t>
  </si>
  <si>
    <t>AMANDA CANTIN</t>
  </si>
  <si>
    <t>SANTINO ARCE</t>
  </si>
  <si>
    <t>SERAFIN ARCE</t>
  </si>
  <si>
    <t>BENJAMIN ARNEZ</t>
  </si>
  <si>
    <t>IRENE SAUCEO</t>
  </si>
  <si>
    <t>ANDRES BOWLES</t>
  </si>
  <si>
    <t>MARTINA LOZANO</t>
  </si>
  <si>
    <t>AlONSO PAZ</t>
  </si>
  <si>
    <t>NO JUGO/SOLO AGUA</t>
  </si>
  <si>
    <t>OLIVIA KEFFER</t>
  </si>
  <si>
    <t>ESTEBAN SPENCER</t>
  </si>
  <si>
    <t>LAURA TRONCOSO</t>
  </si>
  <si>
    <t>DEBE 2 ALMUERZOS</t>
  </si>
  <si>
    <t>NO MILA/NO CUÑAPE/DEBE 15 DIAS DE MAY + JUNIO</t>
  </si>
  <si>
    <t>PERIODO DE CERTIFICACION CON EL COLEGIO "SCIS"
DEL 20 AL 24 DE JULIO</t>
  </si>
  <si>
    <t>CARLOTA RIBA</t>
  </si>
  <si>
    <t>5 CUCHARADAS DE SOPA MIN</t>
  </si>
  <si>
    <t>TODOS LOS LUNES - AGOSTO TB</t>
  </si>
  <si>
    <t>AARON JUSTINIANO</t>
  </si>
  <si>
    <t>EMANUEL MENDEZ</t>
  </si>
  <si>
    <t>ALMUERZO + SNACK/PEDIR COMPROBANTE DE LUNCH</t>
  </si>
  <si>
    <t>SOLO MERIENDITA</t>
  </si>
  <si>
    <t>TODOS LOS LUNES  - PAGO 4</t>
  </si>
  <si>
    <t>NO CHEESEBURGER/NO TALLARÍN</t>
  </si>
  <si>
    <t>SANTIAGO SALVIATI</t>
  </si>
  <si>
    <t>NO PASTAS/CAMBIAR A MENU FIT</t>
  </si>
  <si>
    <t>LEONARDO SALVIATI</t>
  </si>
  <si>
    <t>NO TALLARIN A LA BOLOGNESA/NO PASTAS</t>
  </si>
  <si>
    <t>TODOS LOS LUNES PECHUGA/CANCELO 6 LUNES</t>
  </si>
  <si>
    <t>LETIZIA SAUTO</t>
  </si>
  <si>
    <t>JUAN ANDRES AÑEZ</t>
  </si>
  <si>
    <t>MARIA JOSE OROZA</t>
  </si>
  <si>
    <t>PEDIR CONTACTO/DEBE 1 DEL 15 DE JUNIO</t>
  </si>
  <si>
    <t>3/4/10/11/13/17/18/20/24/25/27/31 DE AGOSTO</t>
  </si>
  <si>
    <t>ADRIANA VILLAVICENCIO</t>
  </si>
  <si>
    <t>DEBE MERIENDA</t>
  </si>
  <si>
    <t>LUNES Y VIERNES DE TODO AGOSTO</t>
  </si>
  <si>
    <t xml:space="preserve">AGOSTO </t>
  </si>
  <si>
    <t>PERIODO DE CERTIFICACION CON EL COLEGIO "SCIS"
DEL 03 AL 05 DE AGOSTO DE 2026</t>
  </si>
  <si>
    <t>PERIODO DE CERTIFICACION CON EL COLEGIO "SCIS"
DEL 10 AL 14 DE AGOSTO DE 2026</t>
  </si>
  <si>
    <t>PERIODO DE CERTIFICACION CON EL COLEGIO "SCIS"
DEL 17 AL 21 DE AGOSTO DE 2026</t>
  </si>
  <si>
    <t>PERIODO DE CERTIFICACION CON EL COLEGIO "SCIS"
DEL 24 AL 28 DE AGOSTO DE 2026</t>
  </si>
  <si>
    <t>PERIODO DE CERTIFICACION CON EL COLEGIO "SCIS"
DEL 31 DE AGOSTO DE 2026</t>
  </si>
  <si>
    <t>LUNCH + MERIENDA /no burger/ panini/keperi/burrito</t>
  </si>
  <si>
    <t>NO PASTA</t>
  </si>
  <si>
    <t>NO MAJADITO</t>
  </si>
  <si>
    <t>NO FIDEO</t>
  </si>
  <si>
    <r>
      <t xml:space="preserve"> </t>
    </r>
    <r>
      <rPr>
        <sz val="9"/>
        <color theme="1"/>
        <rFont val="Calibri"/>
        <family val="2"/>
      </rPr>
      <t>SOLO FRUTA DE POSTRE + ENSALADA</t>
    </r>
  </si>
  <si>
    <t>MENU FIT - SOLO FRUTA DE POSTRE</t>
  </si>
  <si>
    <t xml:space="preserve">TODOS LOS LUNES </t>
  </si>
  <si>
    <t>NO LACTEOS - NO GLUTEN</t>
  </si>
  <si>
    <t>MENU FIT - SOLO FRUTA DE POSTRE + ENSALADA</t>
  </si>
  <si>
    <t>NO MAJADITO/NO LASAGNA/NO BURRITO/NO BURGER</t>
  </si>
  <si>
    <t xml:space="preserve">LUCIANA BALCAZAR </t>
  </si>
  <si>
    <t>LUNES/MIERCOLES/VIERNES</t>
  </si>
  <si>
    <t>LAURA ROJAS</t>
  </si>
  <si>
    <t>5SA</t>
  </si>
  <si>
    <t xml:space="preserve">HECTOR MUNDAKA </t>
  </si>
  <si>
    <t>DARIO MUNDAKA</t>
  </si>
  <si>
    <t>NO TALLARIN CON MANTEQUILLA</t>
  </si>
  <si>
    <t>NO KEPERÍ/NO MAJADITO/NO PANINI</t>
  </si>
  <si>
    <t>NO PANINI</t>
  </si>
  <si>
    <t>INTERCALAR BIFE/PECHUGA /MILA</t>
  </si>
  <si>
    <t>INTERCALAR PECHUGA Y BIFE/DEBE 5 DIAS JULIO</t>
  </si>
  <si>
    <t>DEBE 5 DIAS DE JULIO</t>
  </si>
  <si>
    <r>
      <t>ENVIAR QR/MENU FIT/</t>
    </r>
    <r>
      <rPr>
        <sz val="11"/>
        <color rgb="FFFF0000"/>
        <rFont val="Calibri"/>
        <family val="2"/>
      </rPr>
      <t>DEBE 5 DIAS D JULIO</t>
    </r>
  </si>
  <si>
    <t xml:space="preserve">NO PIQUE MACHO/ INTERCALAR POLLO Y BIFE/DEBE </t>
  </si>
  <si>
    <t>DEBE 2 DIAS JULIO</t>
  </si>
  <si>
    <t>DEBE 5 DIAS JULIO</t>
  </si>
  <si>
    <t>SI MILANESA /DEBE 5 ALMUERZOS Y 2 SNACKS JULIO</t>
  </si>
  <si>
    <r>
      <t>PAGA FIN DE MES/</t>
    </r>
    <r>
      <rPr>
        <sz val="11"/>
        <color rgb="FFFF0000"/>
        <rFont val="Calibri (Headings)_x0000_"/>
      </rPr>
      <t>DEBE 5 DIAS JULIO</t>
    </r>
  </si>
  <si>
    <t>NO LASAGNA/PAGO HASTA SEPT</t>
  </si>
  <si>
    <t>NO CORDON BLUE</t>
  </si>
  <si>
    <t>1 DIA A FAVOR SEPT</t>
  </si>
  <si>
    <t>NO PIPOCAS DE POLLO</t>
  </si>
  <si>
    <t>DEBE SNACKS DEL MES PASADO</t>
  </si>
  <si>
    <t>LUNCH + MERIENDA  ( hasta el 10 de sept)</t>
  </si>
  <si>
    <t>NO PIPOCAS</t>
  </si>
  <si>
    <t>ADRIAN TERCEROS</t>
  </si>
  <si>
    <t>ANA FABIA JIMENEZ</t>
  </si>
  <si>
    <t>LUNCH + MERIENDA/HASTA EL 30 DE SEPT</t>
  </si>
  <si>
    <t>LUNCH + MERIENDA/MENU FIT/HASTA EL 30 DE SEPT</t>
  </si>
  <si>
    <t>13 LMUERZOS PARA SEPT.</t>
  </si>
  <si>
    <t>2 DIAS PARA SEP.</t>
  </si>
  <si>
    <t>DEBE 1 DE JULIO</t>
  </si>
  <si>
    <t>PROX LUNES SALCHIPAPA</t>
  </si>
  <si>
    <t>HAMBURGUESA SIN SALSA</t>
  </si>
  <si>
    <t>COBRAR AL ABUELO</t>
  </si>
  <si>
    <t>1 MERIENDA A FAVOR PARA EL LUNES 31</t>
  </si>
  <si>
    <t>LUNCH + MERIENDA/ DEBE SNACKS - NO MAJADITO</t>
  </si>
  <si>
    <t>CANCELO HASTA FIN DE AÑO</t>
  </si>
  <si>
    <t>REGISTRO HASTA EL 30 DE SEPT</t>
  </si>
  <si>
    <t>MIRANDA CESPEDES DEBE DE TORTA</t>
  </si>
  <si>
    <t>VALENTINA CENSCONETTO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</si>
</sst>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"/>
    <numFmt numFmtId="165" formatCode="[$-409]d\-mmm;@"/>
  </numFmts>
  <fonts count="3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22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Bahnschrift SemiBold Condensed"/>
      <family val="2"/>
    </font>
    <font>
      <sz val="11"/>
      <color rgb="FF000000"/>
      <name val="Docs-Calibri"/>
    </font>
    <font>
      <sz val="11"/>
      <color theme="1"/>
      <name val="Arial"/>
      <family val="2"/>
    </font>
    <font>
      <sz val="1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aj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alibri (Headings)_x0000_"/>
    </font>
    <font>
      <sz val="11"/>
      <color rgb="FFFF0000"/>
      <name val="Calibri"/>
      <family val="2"/>
    </font>
    <font>
      <sz val="10"/>
      <color theme="1"/>
      <name val="Calibri"/>
      <family val="2"/>
      <scheme val="major"/>
    </font>
    <font>
      <sz val="8"/>
      <color rgb="FF000000"/>
      <name val="Calibri"/>
      <family val="2"/>
    </font>
    <font>
      <sz val="11"/>
      <color rgb="FFFF0000"/>
      <name val="Calibri (Headings)_x0000_"/>
    </font>
    <font>
      <sz val="9"/>
      <color theme="1"/>
      <name val="Calibri"/>
      <family val="2"/>
    </font>
    <font>
      <sz val="7"/>
      <color theme="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EF2CB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B0B0"/>
        <bgColor indexed="64"/>
      </patternFill>
    </fill>
    <fill>
      <patternFill patternType="solid">
        <fgColor rgb="FFFFB0B0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B0B0"/>
        <bgColor theme="0"/>
      </patternFill>
    </fill>
    <fill>
      <patternFill patternType="solid">
        <fgColor theme="2" tint="-0.14999847407452621"/>
        <bgColor rgb="FFFFF2CC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rgb="FFFFFFFF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16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10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/>
    <xf numFmtId="0" fontId="2" fillId="0" borderId="0" xfId="0" applyFont="1"/>
    <xf numFmtId="0" fontId="2" fillId="0" borderId="6" xfId="0" applyFont="1" applyBorder="1"/>
    <xf numFmtId="1" fontId="2" fillId="0" borderId="6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29" xfId="0" applyFont="1" applyBorder="1"/>
    <xf numFmtId="0" fontId="2" fillId="2" borderId="34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46" xfId="0" applyFont="1" applyBorder="1"/>
    <xf numFmtId="20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47" xfId="0" applyNumberFormat="1" applyFont="1" applyBorder="1"/>
    <xf numFmtId="0" fontId="2" fillId="0" borderId="48" xfId="0" applyFont="1" applyBorder="1"/>
    <xf numFmtId="20" fontId="2" fillId="0" borderId="33" xfId="0" applyNumberFormat="1" applyFont="1" applyBorder="1"/>
    <xf numFmtId="1" fontId="2" fillId="0" borderId="11" xfId="0" applyNumberFormat="1" applyFont="1" applyBorder="1"/>
    <xf numFmtId="1" fontId="2" fillId="0" borderId="33" xfId="0" applyNumberFormat="1" applyFont="1" applyBorder="1"/>
    <xf numFmtId="164" fontId="2" fillId="0" borderId="33" xfId="0" applyNumberFormat="1" applyFont="1" applyBorder="1"/>
    <xf numFmtId="1" fontId="2" fillId="0" borderId="26" xfId="0" applyNumberFormat="1" applyFont="1" applyBorder="1"/>
    <xf numFmtId="0" fontId="5" fillId="0" borderId="26" xfId="0" applyFont="1" applyBorder="1" applyAlignment="1">
      <alignment horizontal="right" vertical="center"/>
    </xf>
    <xf numFmtId="164" fontId="5" fillId="0" borderId="26" xfId="0" applyNumberFormat="1" applyFont="1" applyBorder="1" applyAlignment="1">
      <alignment horizontal="right" vertical="center"/>
    </xf>
    <xf numFmtId="164" fontId="5" fillId="0" borderId="25" xfId="0" applyNumberFormat="1" applyFont="1" applyBorder="1" applyAlignment="1">
      <alignment horizontal="right" vertical="center"/>
    </xf>
    <xf numFmtId="1" fontId="5" fillId="0" borderId="23" xfId="0" applyNumberFormat="1" applyFont="1" applyBorder="1" applyAlignment="1">
      <alignment horizontal="right" vertical="center"/>
    </xf>
    <xf numFmtId="1" fontId="2" fillId="0" borderId="0" xfId="0" applyNumberFormat="1" applyFont="1"/>
    <xf numFmtId="43" fontId="2" fillId="0" borderId="0" xfId="0" applyNumberFormat="1" applyFont="1"/>
    <xf numFmtId="0" fontId="2" fillId="0" borderId="51" xfId="0" applyFont="1" applyBorder="1"/>
    <xf numFmtId="164" fontId="2" fillId="0" borderId="11" xfId="0" applyNumberFormat="1" applyFont="1" applyBorder="1"/>
    <xf numFmtId="164" fontId="2" fillId="0" borderId="52" xfId="0" applyNumberFormat="1" applyFont="1" applyBorder="1"/>
    <xf numFmtId="0" fontId="11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5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65" fontId="11" fillId="7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17" fillId="5" borderId="1" xfId="0" applyNumberFormat="1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/>
    <xf numFmtId="165" fontId="11" fillId="0" borderId="1" xfId="0" applyNumberFormat="1" applyFont="1" applyBorder="1"/>
    <xf numFmtId="165" fontId="15" fillId="5" borderId="1" xfId="0" applyNumberFormat="1" applyFont="1" applyFill="1" applyBorder="1" applyAlignment="1">
      <alignment horizontal="center"/>
    </xf>
    <xf numFmtId="165" fontId="18" fillId="5" borderId="1" xfId="0" applyNumberFormat="1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165" fontId="18" fillId="6" borderId="1" xfId="0" applyNumberFormat="1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/>
    </xf>
    <xf numFmtId="0" fontId="2" fillId="2" borderId="36" xfId="0" applyFont="1" applyFill="1" applyBorder="1"/>
    <xf numFmtId="0" fontId="0" fillId="5" borderId="0" xfId="0" applyFill="1"/>
    <xf numFmtId="165" fontId="11" fillId="5" borderId="13" xfId="0" applyNumberFormat="1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/>
    </xf>
    <xf numFmtId="0" fontId="11" fillId="5" borderId="53" xfId="0" applyFont="1" applyFill="1" applyBorder="1" applyAlignment="1">
      <alignment horizontal="center"/>
    </xf>
    <xf numFmtId="1" fontId="2" fillId="0" borderId="38" xfId="0" applyNumberFormat="1" applyFont="1" applyBorder="1"/>
    <xf numFmtId="164" fontId="5" fillId="0" borderId="38" xfId="0" applyNumberFormat="1" applyFont="1" applyBorder="1" applyAlignment="1">
      <alignment horizontal="right" vertical="center"/>
    </xf>
    <xf numFmtId="1" fontId="5" fillId="0" borderId="54" xfId="0" applyNumberFormat="1" applyFont="1" applyBorder="1" applyAlignment="1">
      <alignment horizontal="right" vertical="center"/>
    </xf>
    <xf numFmtId="164" fontId="5" fillId="0" borderId="55" xfId="0" applyNumberFormat="1" applyFont="1" applyBorder="1" applyAlignment="1">
      <alignment horizontal="right" vertical="center"/>
    </xf>
    <xf numFmtId="164" fontId="5" fillId="0" borderId="56" xfId="0" applyNumberFormat="1" applyFont="1" applyBorder="1" applyAlignment="1">
      <alignment horizontal="right" vertical="center"/>
    </xf>
    <xf numFmtId="0" fontId="2" fillId="5" borderId="32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2" fillId="5" borderId="19" xfId="0" applyFont="1" applyFill="1" applyBorder="1"/>
    <xf numFmtId="0" fontId="10" fillId="5" borderId="1" xfId="0" applyFont="1" applyFill="1" applyBorder="1" applyAlignment="1">
      <alignment horizontal="center"/>
    </xf>
    <xf numFmtId="0" fontId="19" fillId="0" borderId="0" xfId="0" applyFont="1"/>
    <xf numFmtId="0" fontId="2" fillId="5" borderId="5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right" vertical="center"/>
    </xf>
    <xf numFmtId="0" fontId="7" fillId="0" borderId="53" xfId="0" applyFont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7" fillId="0" borderId="53" xfId="0" applyFont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165" fontId="2" fillId="5" borderId="32" xfId="0" applyNumberFormat="1" applyFont="1" applyFill="1" applyBorder="1" applyAlignment="1">
      <alignment horizontal="center"/>
    </xf>
    <xf numFmtId="165" fontId="2" fillId="7" borderId="32" xfId="0" applyNumberFormat="1" applyFont="1" applyFill="1" applyBorder="1" applyAlignment="1">
      <alignment horizontal="center"/>
    </xf>
    <xf numFmtId="165" fontId="11" fillId="5" borderId="32" xfId="0" applyNumberFormat="1" applyFont="1" applyFill="1" applyBorder="1" applyAlignment="1">
      <alignment horizontal="center"/>
    </xf>
    <xf numFmtId="165" fontId="18" fillId="5" borderId="32" xfId="0" applyNumberFormat="1" applyFont="1" applyFill="1" applyBorder="1" applyAlignment="1">
      <alignment horizontal="center"/>
    </xf>
    <xf numFmtId="165" fontId="11" fillId="5" borderId="32" xfId="0" applyNumberFormat="1" applyFont="1" applyFill="1" applyBorder="1"/>
    <xf numFmtId="165" fontId="2" fillId="5" borderId="32" xfId="0" applyNumberFormat="1" applyFont="1" applyFill="1" applyBorder="1"/>
    <xf numFmtId="0" fontId="11" fillId="0" borderId="19" xfId="0" applyFont="1" applyBorder="1"/>
    <xf numFmtId="0" fontId="2" fillId="5" borderId="53" xfId="0" applyFont="1" applyFill="1" applyBorder="1"/>
    <xf numFmtId="0" fontId="2" fillId="5" borderId="53" xfId="0" applyFont="1" applyFill="1" applyBorder="1" applyAlignment="1">
      <alignment horizontal="center"/>
    </xf>
    <xf numFmtId="0" fontId="2" fillId="7" borderId="53" xfId="0" applyFont="1" applyFill="1" applyBorder="1"/>
    <xf numFmtId="0" fontId="2" fillId="7" borderId="53" xfId="0" applyFont="1" applyFill="1" applyBorder="1" applyAlignment="1">
      <alignment horizontal="center"/>
    </xf>
    <xf numFmtId="0" fontId="2" fillId="2" borderId="53" xfId="0" applyFont="1" applyFill="1" applyBorder="1"/>
    <xf numFmtId="0" fontId="2" fillId="8" borderId="53" xfId="0" applyFont="1" applyFill="1" applyBorder="1"/>
    <xf numFmtId="0" fontId="2" fillId="8" borderId="53" xfId="0" applyFont="1" applyFill="1" applyBorder="1" applyAlignment="1">
      <alignment horizontal="center"/>
    </xf>
    <xf numFmtId="0" fontId="18" fillId="7" borderId="53" xfId="0" applyFont="1" applyFill="1" applyBorder="1" applyAlignment="1">
      <alignment horizontal="center"/>
    </xf>
    <xf numFmtId="0" fontId="2" fillId="5" borderId="27" xfId="0" applyFont="1" applyFill="1" applyBorder="1"/>
    <xf numFmtId="0" fontId="2" fillId="5" borderId="1" xfId="0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11" fillId="5" borderId="32" xfId="0" applyFont="1" applyFill="1" applyBorder="1"/>
    <xf numFmtId="165" fontId="11" fillId="7" borderId="53" xfId="0" applyNumberFormat="1" applyFont="1" applyFill="1" applyBorder="1" applyAlignment="1">
      <alignment horizontal="center"/>
    </xf>
    <xf numFmtId="0" fontId="2" fillId="5" borderId="58" xfId="0" applyFont="1" applyFill="1" applyBorder="1"/>
    <xf numFmtId="0" fontId="2" fillId="5" borderId="58" xfId="0" applyFont="1" applyFill="1" applyBorder="1" applyAlignment="1">
      <alignment horizontal="center"/>
    </xf>
    <xf numFmtId="165" fontId="11" fillId="5" borderId="28" xfId="0" applyNumberFormat="1" applyFont="1" applyFill="1" applyBorder="1"/>
    <xf numFmtId="165" fontId="11" fillId="0" borderId="19" xfId="0" applyNumberFormat="1" applyFont="1" applyBorder="1"/>
    <xf numFmtId="165" fontId="11" fillId="5" borderId="53" xfId="0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5" fontId="11" fillId="7" borderId="58" xfId="0" applyNumberFormat="1" applyFont="1" applyFill="1" applyBorder="1" applyAlignment="1">
      <alignment horizontal="center"/>
    </xf>
    <xf numFmtId="165" fontId="11" fillId="7" borderId="28" xfId="0" applyNumberFormat="1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11" fillId="5" borderId="19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65" fontId="11" fillId="5" borderId="19" xfId="0" applyNumberFormat="1" applyFont="1" applyFill="1" applyBorder="1" applyAlignment="1">
      <alignment horizontal="center"/>
    </xf>
    <xf numFmtId="165" fontId="11" fillId="5" borderId="20" xfId="0" applyNumberFormat="1" applyFont="1" applyFill="1" applyBorder="1" applyAlignment="1">
      <alignment horizontal="center"/>
    </xf>
    <xf numFmtId="165" fontId="11" fillId="5" borderId="53" xfId="0" applyNumberFormat="1" applyFont="1" applyFill="1" applyBorder="1" applyAlignment="1">
      <alignment horizontal="center"/>
    </xf>
    <xf numFmtId="165" fontId="2" fillId="5" borderId="32" xfId="0" applyNumberFormat="1" applyFont="1" applyFill="1" applyBorder="1" applyAlignment="1">
      <alignment horizontal="center" vertical="center"/>
    </xf>
    <xf numFmtId="0" fontId="2" fillId="13" borderId="32" xfId="0" applyFont="1" applyFill="1" applyBorder="1" applyAlignment="1">
      <alignment horizontal="center" vertical="center"/>
    </xf>
    <xf numFmtId="0" fontId="7" fillId="0" borderId="57" xfId="0" applyFont="1" applyBorder="1"/>
    <xf numFmtId="165" fontId="2" fillId="5" borderId="19" xfId="0" applyNumberFormat="1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7" fillId="5" borderId="53" xfId="0" applyFont="1" applyFill="1" applyBorder="1"/>
    <xf numFmtId="0" fontId="7" fillId="5" borderId="53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165" fontId="2" fillId="5" borderId="53" xfId="0" applyNumberFormat="1" applyFont="1" applyFill="1" applyBorder="1" applyAlignment="1">
      <alignment horizontal="center"/>
    </xf>
    <xf numFmtId="0" fontId="2" fillId="2" borderId="19" xfId="0" applyFont="1" applyFill="1" applyBorder="1"/>
    <xf numFmtId="0" fontId="2" fillId="5" borderId="20" xfId="0" applyFont="1" applyFill="1" applyBorder="1" applyAlignment="1">
      <alignment horizontal="center" vertical="center"/>
    </xf>
    <xf numFmtId="165" fontId="11" fillId="5" borderId="57" xfId="0" applyNumberFormat="1" applyFont="1" applyFill="1" applyBorder="1" applyAlignment="1">
      <alignment horizontal="center"/>
    </xf>
    <xf numFmtId="165" fontId="2" fillId="5" borderId="53" xfId="0" applyNumberFormat="1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165" fontId="2" fillId="5" borderId="13" xfId="0" applyNumberFormat="1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/>
    </xf>
    <xf numFmtId="0" fontId="2" fillId="10" borderId="53" xfId="0" applyFont="1" applyFill="1" applyBorder="1" applyAlignment="1">
      <alignment horizontal="center" vertical="center"/>
    </xf>
    <xf numFmtId="0" fontId="7" fillId="0" borderId="36" xfId="0" applyFont="1" applyBorder="1"/>
    <xf numFmtId="0" fontId="2" fillId="5" borderId="59" xfId="0" applyFont="1" applyFill="1" applyBorder="1" applyAlignment="1">
      <alignment horizontal="center"/>
    </xf>
    <xf numFmtId="0" fontId="14" fillId="6" borderId="36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165" fontId="2" fillId="8" borderId="31" xfId="0" applyNumberFormat="1" applyFont="1" applyFill="1" applyBorder="1" applyAlignment="1">
      <alignment horizontal="center"/>
    </xf>
    <xf numFmtId="165" fontId="2" fillId="5" borderId="31" xfId="0" applyNumberFormat="1" applyFont="1" applyFill="1" applyBorder="1" applyAlignment="1">
      <alignment horizontal="center"/>
    </xf>
    <xf numFmtId="165" fontId="18" fillId="5" borderId="31" xfId="0" applyNumberFormat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 vertical="center"/>
    </xf>
    <xf numFmtId="165" fontId="2" fillId="8" borderId="53" xfId="0" applyNumberFormat="1" applyFont="1" applyFill="1" applyBorder="1" applyAlignment="1">
      <alignment horizontal="center"/>
    </xf>
    <xf numFmtId="165" fontId="18" fillId="5" borderId="53" xfId="0" applyNumberFormat="1" applyFont="1" applyFill="1" applyBorder="1" applyAlignment="1">
      <alignment horizontal="center"/>
    </xf>
    <xf numFmtId="0" fontId="2" fillId="5" borderId="13" xfId="0" applyFont="1" applyFill="1" applyBorder="1"/>
    <xf numFmtId="165" fontId="2" fillId="5" borderId="27" xfId="0" applyNumberFormat="1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5" fontId="2" fillId="5" borderId="20" xfId="0" applyNumberFormat="1" applyFont="1" applyFill="1" applyBorder="1" applyAlignment="1">
      <alignment horizontal="center"/>
    </xf>
    <xf numFmtId="0" fontId="2" fillId="7" borderId="13" xfId="0" applyFont="1" applyFill="1" applyBorder="1"/>
    <xf numFmtId="165" fontId="2" fillId="5" borderId="19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/>
    </xf>
    <xf numFmtId="165" fontId="2" fillId="7" borderId="53" xfId="0" applyNumberFormat="1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2" fillId="5" borderId="20" xfId="0" applyFont="1" applyFill="1" applyBorder="1"/>
    <xf numFmtId="0" fontId="2" fillId="14" borderId="32" xfId="0" applyFont="1" applyFill="1" applyBorder="1" applyAlignment="1">
      <alignment horizontal="center"/>
    </xf>
    <xf numFmtId="1" fontId="0" fillId="0" borderId="0" xfId="0" applyNumberFormat="1"/>
    <xf numFmtId="0" fontId="2" fillId="16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9" borderId="53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6" borderId="1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14" borderId="13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/>
    </xf>
    <xf numFmtId="0" fontId="18" fillId="5" borderId="1" xfId="0" applyFont="1" applyFill="1" applyBorder="1"/>
    <xf numFmtId="0" fontId="18" fillId="0" borderId="1" xfId="0" applyFont="1" applyBorder="1"/>
    <xf numFmtId="0" fontId="2" fillId="0" borderId="27" xfId="0" applyFont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/>
    </xf>
    <xf numFmtId="0" fontId="2" fillId="16" borderId="53" xfId="0" applyFont="1" applyFill="1" applyBorder="1" applyAlignment="1">
      <alignment horizontal="center"/>
    </xf>
    <xf numFmtId="0" fontId="2" fillId="16" borderId="57" xfId="0" applyFont="1" applyFill="1" applyBorder="1" applyAlignment="1">
      <alignment horizontal="center"/>
    </xf>
    <xf numFmtId="0" fontId="17" fillId="5" borderId="32" xfId="0" applyFont="1" applyFill="1" applyBorder="1" applyAlignment="1">
      <alignment horizontal="center"/>
    </xf>
    <xf numFmtId="0" fontId="2" fillId="9" borderId="5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/>
    </xf>
    <xf numFmtId="0" fontId="11" fillId="5" borderId="60" xfId="0" applyFont="1" applyFill="1" applyBorder="1" applyAlignment="1">
      <alignment horizontal="center"/>
    </xf>
    <xf numFmtId="165" fontId="2" fillId="5" borderId="20" xfId="0" applyNumberFormat="1" applyFont="1" applyFill="1" applyBorder="1" applyAlignment="1">
      <alignment horizontal="center" vertical="center"/>
    </xf>
    <xf numFmtId="165" fontId="2" fillId="5" borderId="57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0" fontId="2" fillId="16" borderId="32" xfId="0" applyFont="1" applyFill="1" applyBorder="1" applyAlignment="1">
      <alignment horizontal="center"/>
    </xf>
    <xf numFmtId="0" fontId="24" fillId="16" borderId="13" xfId="0" applyFont="1" applyFill="1" applyBorder="1" applyAlignment="1">
      <alignment horizontal="center" vertical="center"/>
    </xf>
    <xf numFmtId="1" fontId="7" fillId="0" borderId="22" xfId="0" applyNumberFormat="1" applyFont="1" applyBorder="1"/>
    <xf numFmtId="0" fontId="18" fillId="16" borderId="13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" fontId="5" fillId="0" borderId="26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2" fillId="17" borderId="53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7" fillId="9" borderId="53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165" fontId="11" fillId="5" borderId="58" xfId="0" applyNumberFormat="1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7" borderId="32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9" fillId="19" borderId="53" xfId="0" applyFont="1" applyFill="1" applyBorder="1" applyAlignment="1">
      <alignment horizontal="center"/>
    </xf>
    <xf numFmtId="0" fontId="2" fillId="5" borderId="57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165" fontId="2" fillId="5" borderId="57" xfId="0" applyNumberFormat="1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2" fillId="11" borderId="27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/>
    </xf>
    <xf numFmtId="0" fontId="5" fillId="0" borderId="4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62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2" fillId="0" borderId="32" xfId="0" applyFont="1" applyBorder="1"/>
    <xf numFmtId="0" fontId="5" fillId="0" borderId="3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0" fillId="0" borderId="36" xfId="0" applyBorder="1"/>
    <xf numFmtId="0" fontId="5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5" fillId="0" borderId="6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7" fillId="0" borderId="3" xfId="0" applyFont="1" applyBorder="1"/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11" fillId="0" borderId="32" xfId="0" applyFont="1" applyBorder="1"/>
    <xf numFmtId="0" fontId="2" fillId="20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27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/>
    </xf>
    <xf numFmtId="0" fontId="11" fillId="21" borderId="32" xfId="0" applyFont="1" applyFill="1" applyBorder="1" applyAlignment="1">
      <alignment horizontal="center"/>
    </xf>
    <xf numFmtId="0" fontId="11" fillId="20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1" borderId="53" xfId="0" applyFont="1" applyFill="1" applyBorder="1" applyAlignment="1">
      <alignment horizontal="center"/>
    </xf>
    <xf numFmtId="0" fontId="11" fillId="21" borderId="53" xfId="0" applyFont="1" applyFill="1" applyBorder="1" applyAlignment="1">
      <alignment horizontal="center"/>
    </xf>
    <xf numFmtId="0" fontId="11" fillId="21" borderId="62" xfId="0" applyFont="1" applyFill="1" applyBorder="1" applyAlignment="1">
      <alignment horizontal="center"/>
    </xf>
    <xf numFmtId="0" fontId="11" fillId="20" borderId="53" xfId="0" applyFont="1" applyFill="1" applyBorder="1" applyAlignment="1">
      <alignment horizontal="center"/>
    </xf>
    <xf numFmtId="0" fontId="11" fillId="20" borderId="32" xfId="0" applyFont="1" applyFill="1" applyBorder="1" applyAlignment="1">
      <alignment horizontal="center"/>
    </xf>
    <xf numFmtId="0" fontId="11" fillId="20" borderId="27" xfId="0" applyFont="1" applyFill="1" applyBorder="1" applyAlignment="1">
      <alignment horizontal="center"/>
    </xf>
    <xf numFmtId="0" fontId="11" fillId="20" borderId="58" xfId="0" applyFont="1" applyFill="1" applyBorder="1" applyAlignment="1">
      <alignment horizontal="center"/>
    </xf>
    <xf numFmtId="0" fontId="11" fillId="21" borderId="13" xfId="0" applyFont="1" applyFill="1" applyBorder="1" applyAlignment="1">
      <alignment horizontal="center"/>
    </xf>
    <xf numFmtId="0" fontId="11" fillId="20" borderId="19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28" xfId="0" applyFont="1" applyFill="1" applyBorder="1" applyAlignment="1">
      <alignment horizontal="center" vertical="center"/>
    </xf>
    <xf numFmtId="0" fontId="2" fillId="20" borderId="28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22" borderId="27" xfId="0" applyFont="1" applyFill="1" applyBorder="1" applyAlignment="1">
      <alignment horizontal="center"/>
    </xf>
    <xf numFmtId="0" fontId="2" fillId="22" borderId="27" xfId="0" applyFont="1" applyFill="1" applyBorder="1" applyAlignment="1">
      <alignment horizontal="center" vertical="center"/>
    </xf>
    <xf numFmtId="0" fontId="2" fillId="21" borderId="17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 vertical="center"/>
    </xf>
    <xf numFmtId="0" fontId="2" fillId="20" borderId="13" xfId="0" applyFont="1" applyFill="1" applyBorder="1" applyAlignment="1">
      <alignment horizontal="center" vertical="center"/>
    </xf>
    <xf numFmtId="0" fontId="2" fillId="20" borderId="53" xfId="0" applyFont="1" applyFill="1" applyBorder="1" applyAlignment="1">
      <alignment horizontal="center" vertical="center"/>
    </xf>
    <xf numFmtId="0" fontId="2" fillId="21" borderId="19" xfId="0" applyFont="1" applyFill="1" applyBorder="1" applyAlignment="1">
      <alignment horizontal="center" vertical="center"/>
    </xf>
    <xf numFmtId="0" fontId="2" fillId="21" borderId="20" xfId="0" applyFont="1" applyFill="1" applyBorder="1" applyAlignment="1">
      <alignment horizontal="center" vertical="center"/>
    </xf>
    <xf numFmtId="0" fontId="2" fillId="21" borderId="53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" fillId="21" borderId="13" xfId="0" applyFont="1" applyFill="1" applyBorder="1" applyAlignment="1">
      <alignment horizontal="center" vertical="center"/>
    </xf>
    <xf numFmtId="0" fontId="2" fillId="20" borderId="27" xfId="0" applyFont="1" applyFill="1" applyBorder="1" applyAlignment="1">
      <alignment horizontal="center"/>
    </xf>
    <xf numFmtId="0" fontId="2" fillId="20" borderId="27" xfId="0" applyFont="1" applyFill="1" applyBorder="1" applyAlignment="1">
      <alignment horizontal="center" vertical="center"/>
    </xf>
    <xf numFmtId="0" fontId="2" fillId="21" borderId="27" xfId="0" applyFont="1" applyFill="1" applyBorder="1" applyAlignment="1">
      <alignment horizontal="center"/>
    </xf>
    <xf numFmtId="0" fontId="2" fillId="20" borderId="13" xfId="0" applyFont="1" applyFill="1" applyBorder="1" applyAlignment="1">
      <alignment horizontal="center"/>
    </xf>
    <xf numFmtId="0" fontId="2" fillId="20" borderId="53" xfId="0" applyFont="1" applyFill="1" applyBorder="1" applyAlignment="1">
      <alignment horizontal="center"/>
    </xf>
    <xf numFmtId="0" fontId="11" fillId="23" borderId="1" xfId="0" applyFont="1" applyFill="1" applyBorder="1" applyAlignment="1">
      <alignment horizontal="center"/>
    </xf>
    <xf numFmtId="0" fontId="11" fillId="23" borderId="32" xfId="0" applyFont="1" applyFill="1" applyBorder="1" applyAlignment="1">
      <alignment horizontal="center"/>
    </xf>
    <xf numFmtId="0" fontId="2" fillId="20" borderId="62" xfId="0" applyFont="1" applyFill="1" applyBorder="1" applyAlignment="1">
      <alignment horizontal="center"/>
    </xf>
    <xf numFmtId="0" fontId="11" fillId="21" borderId="64" xfId="0" applyFont="1" applyFill="1" applyBorder="1" applyAlignment="1">
      <alignment horizontal="center"/>
    </xf>
    <xf numFmtId="0" fontId="2" fillId="21" borderId="64" xfId="0" applyFont="1" applyFill="1" applyBorder="1" applyAlignment="1">
      <alignment horizontal="center"/>
    </xf>
    <xf numFmtId="0" fontId="11" fillId="21" borderId="27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/>
    </xf>
    <xf numFmtId="0" fontId="11" fillId="25" borderId="1" xfId="0" applyFont="1" applyFill="1" applyBorder="1" applyAlignment="1">
      <alignment horizontal="center"/>
    </xf>
    <xf numFmtId="0" fontId="11" fillId="25" borderId="32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2" fillId="9" borderId="57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/>
    </xf>
    <xf numFmtId="0" fontId="7" fillId="21" borderId="19" xfId="0" applyFont="1" applyFill="1" applyBorder="1" applyAlignment="1">
      <alignment horizontal="center"/>
    </xf>
    <xf numFmtId="0" fontId="2" fillId="20" borderId="6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/>
    </xf>
    <xf numFmtId="0" fontId="11" fillId="21" borderId="72" xfId="0" applyFont="1" applyFill="1" applyBorder="1" applyAlignment="1">
      <alignment horizontal="center"/>
    </xf>
    <xf numFmtId="0" fontId="0" fillId="21" borderId="0" xfId="0" applyFill="1" applyAlignment="1">
      <alignment horizontal="center"/>
    </xf>
    <xf numFmtId="0" fontId="11" fillId="5" borderId="58" xfId="0" applyFont="1" applyFill="1" applyBorder="1" applyAlignment="1">
      <alignment horizontal="center"/>
    </xf>
    <xf numFmtId="0" fontId="11" fillId="21" borderId="58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 vertical="center"/>
    </xf>
    <xf numFmtId="0" fontId="2" fillId="16" borderId="15" xfId="0" applyFont="1" applyFill="1" applyBorder="1" applyAlignment="1">
      <alignment horizontal="center"/>
    </xf>
    <xf numFmtId="0" fontId="2" fillId="17" borderId="61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2" fillId="21" borderId="19" xfId="0" applyFont="1" applyFill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0" fillId="0" borderId="0" xfId="0"/>
    <xf numFmtId="0" fontId="2" fillId="21" borderId="27" xfId="0" applyFont="1" applyFill="1" applyBorder="1" applyAlignment="1">
      <alignment horizontal="center" vertical="center"/>
    </xf>
    <xf numFmtId="0" fontId="2" fillId="22" borderId="53" xfId="0" applyFont="1" applyFill="1" applyBorder="1" applyAlignment="1">
      <alignment horizontal="center" vertical="center"/>
    </xf>
    <xf numFmtId="0" fontId="0" fillId="5" borderId="53" xfId="0" applyFill="1" applyBorder="1" applyAlignment="1">
      <alignment horizontal="center"/>
    </xf>
    <xf numFmtId="0" fontId="2" fillId="27" borderId="27" xfId="0" applyFont="1" applyFill="1" applyBorder="1" applyAlignment="1">
      <alignment horizontal="center" vertical="center"/>
    </xf>
    <xf numFmtId="0" fontId="9" fillId="11" borderId="53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11" fillId="21" borderId="19" xfId="0" applyFont="1" applyFill="1" applyBorder="1" applyAlignment="1">
      <alignment horizontal="center"/>
    </xf>
    <xf numFmtId="0" fontId="2" fillId="21" borderId="4" xfId="0" applyFont="1" applyFill="1" applyBorder="1" applyAlignment="1">
      <alignment horizontal="center" vertical="center"/>
    </xf>
    <xf numFmtId="0" fontId="2" fillId="24" borderId="28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 vertical="center"/>
    </xf>
    <xf numFmtId="0" fontId="2" fillId="22" borderId="53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/>
    </xf>
    <xf numFmtId="0" fontId="2" fillId="14" borderId="15" xfId="0" applyFont="1" applyFill="1" applyBorder="1" applyAlignment="1">
      <alignment horizontal="center" vertical="center"/>
    </xf>
    <xf numFmtId="0" fontId="2" fillId="30" borderId="53" xfId="0" applyFont="1" applyFill="1" applyBorder="1" applyAlignment="1">
      <alignment horizontal="center"/>
    </xf>
    <xf numFmtId="0" fontId="27" fillId="16" borderId="28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2" fillId="16" borderId="57" xfId="0" applyFont="1" applyFill="1" applyBorder="1" applyAlignment="1">
      <alignment horizontal="center" vertical="center"/>
    </xf>
    <xf numFmtId="0" fontId="12" fillId="29" borderId="1" xfId="0" applyFont="1" applyFill="1" applyBorder="1" applyAlignment="1">
      <alignment horizontal="center"/>
    </xf>
    <xf numFmtId="0" fontId="21" fillId="30" borderId="0" xfId="0" applyFont="1" applyFill="1" applyAlignment="1">
      <alignment horizontal="center" vertical="center" readingOrder="1"/>
    </xf>
    <xf numFmtId="0" fontId="2" fillId="30" borderId="1" xfId="0" applyFont="1" applyFill="1" applyBorder="1" applyAlignment="1">
      <alignment horizontal="center"/>
    </xf>
    <xf numFmtId="0" fontId="27" fillId="16" borderId="1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2" fillId="21" borderId="62" xfId="0" applyFont="1" applyFill="1" applyBorder="1" applyAlignment="1">
      <alignment horizontal="center"/>
    </xf>
    <xf numFmtId="0" fontId="11" fillId="24" borderId="17" xfId="0" applyFont="1" applyFill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24" borderId="53" xfId="0" applyFont="1" applyFill="1" applyBorder="1" applyAlignment="1">
      <alignment horizontal="center"/>
    </xf>
    <xf numFmtId="0" fontId="11" fillId="21" borderId="28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8" fillId="31" borderId="1" xfId="0" applyFont="1" applyFill="1" applyBorder="1" applyAlignment="1">
      <alignment horizontal="center" vertical="center"/>
    </xf>
    <xf numFmtId="0" fontId="18" fillId="30" borderId="1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14" borderId="53" xfId="0" applyFont="1" applyFill="1" applyBorder="1" applyAlignment="1">
      <alignment horizontal="center" vertical="center"/>
    </xf>
    <xf numFmtId="0" fontId="27" fillId="5" borderId="53" xfId="0" applyFont="1" applyFill="1" applyBorder="1" applyAlignment="1">
      <alignment horizontal="center"/>
    </xf>
    <xf numFmtId="0" fontId="11" fillId="20" borderId="13" xfId="0" applyFont="1" applyFill="1" applyBorder="1" applyAlignment="1">
      <alignment horizontal="center"/>
    </xf>
    <xf numFmtId="0" fontId="11" fillId="20" borderId="63" xfId="0" applyFont="1" applyFill="1" applyBorder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2" fillId="21" borderId="11" xfId="0" applyFont="1" applyFill="1" applyBorder="1" applyAlignment="1">
      <alignment horizontal="center" vertical="center"/>
    </xf>
    <xf numFmtId="0" fontId="2" fillId="21" borderId="62" xfId="0" applyFont="1" applyFill="1" applyBorder="1" applyAlignment="1">
      <alignment horizontal="center" vertical="center"/>
    </xf>
    <xf numFmtId="0" fontId="0" fillId="5" borderId="53" xfId="0" applyFill="1" applyBorder="1"/>
    <xf numFmtId="0" fontId="11" fillId="21" borderId="20" xfId="0" applyFont="1" applyFill="1" applyBorder="1" applyAlignment="1">
      <alignment horizontal="center"/>
    </xf>
    <xf numFmtId="0" fontId="33" fillId="5" borderId="53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center"/>
    </xf>
    <xf numFmtId="0" fontId="0" fillId="0" borderId="0" xfId="0"/>
    <xf numFmtId="0" fontId="7" fillId="0" borderId="36" xfId="0" applyFont="1" applyBorder="1"/>
    <xf numFmtId="0" fontId="7" fillId="0" borderId="54" xfId="0" applyFont="1" applyBorder="1"/>
    <xf numFmtId="0" fontId="7" fillId="0" borderId="66" xfId="0" applyFont="1" applyBorder="1"/>
    <xf numFmtId="0" fontId="7" fillId="0" borderId="67" xfId="0" applyFont="1" applyBorder="1"/>
    <xf numFmtId="0" fontId="8" fillId="0" borderId="11" xfId="0" applyFont="1" applyBorder="1" applyAlignment="1">
      <alignment horizontal="center" vertical="center" wrapText="1"/>
    </xf>
    <xf numFmtId="0" fontId="7" fillId="0" borderId="17" xfId="0" applyFont="1" applyBorder="1"/>
    <xf numFmtId="0" fontId="7" fillId="0" borderId="19" xfId="0" applyFont="1" applyBorder="1"/>
    <xf numFmtId="0" fontId="2" fillId="0" borderId="2" xfId="0" applyFont="1" applyBorder="1" applyAlignment="1">
      <alignment horizontal="center" vertical="center"/>
    </xf>
    <xf numFmtId="0" fontId="7" fillId="0" borderId="3" xfId="0" applyFont="1" applyBorder="1"/>
    <xf numFmtId="0" fontId="6" fillId="0" borderId="2" xfId="0" applyFont="1" applyBorder="1" applyAlignment="1">
      <alignment horizontal="center" vertical="center"/>
    </xf>
    <xf numFmtId="0" fontId="7" fillId="0" borderId="5" xfId="0" applyFont="1" applyBorder="1"/>
    <xf numFmtId="0" fontId="0" fillId="0" borderId="0" xfId="0"/>
    <xf numFmtId="0" fontId="7" fillId="0" borderId="7" xfId="0" applyFont="1" applyBorder="1"/>
    <xf numFmtId="0" fontId="7" fillId="0" borderId="8" xfId="0" applyFont="1" applyBorder="1"/>
    <xf numFmtId="0" fontId="7" fillId="0" borderId="36" xfId="0" applyFont="1" applyBorder="1"/>
    <xf numFmtId="0" fontId="3" fillId="2" borderId="10" xfId="0" applyFont="1" applyFill="1" applyBorder="1" applyAlignment="1">
      <alignment horizontal="center" vertical="center"/>
    </xf>
    <xf numFmtId="0" fontId="7" fillId="0" borderId="16" xfId="0" applyFont="1" applyBorder="1"/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7" fillId="0" borderId="18" xfId="0" applyFont="1" applyBorder="1"/>
    <xf numFmtId="0" fontId="3" fillId="2" borderId="12" xfId="0" applyFont="1" applyFill="1" applyBorder="1" applyAlignment="1">
      <alignment horizontal="center" vertical="center"/>
    </xf>
    <xf numFmtId="0" fontId="7" fillId="0" borderId="20" xfId="0" applyFont="1" applyBorder="1"/>
    <xf numFmtId="0" fontId="8" fillId="0" borderId="28" xfId="0" applyFont="1" applyBorder="1" applyAlignment="1">
      <alignment horizontal="center" vertical="center" wrapText="1"/>
    </xf>
    <xf numFmtId="17" fontId="5" fillId="2" borderId="54" xfId="0" applyNumberFormat="1" applyFont="1" applyFill="1" applyBorder="1" applyAlignment="1">
      <alignment horizontal="center" vertical="center" wrapText="1"/>
    </xf>
    <xf numFmtId="0" fontId="5" fillId="2" borderId="66" xfId="0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center" vertical="center" wrapText="1"/>
    </xf>
    <xf numFmtId="0" fontId="7" fillId="0" borderId="68" xfId="0" applyFont="1" applyBorder="1" applyAlignment="1">
      <alignment horizontal="center"/>
    </xf>
    <xf numFmtId="0" fontId="7" fillId="0" borderId="69" xfId="0" applyFont="1" applyBorder="1" applyAlignment="1">
      <alignment horizontal="center"/>
    </xf>
    <xf numFmtId="0" fontId="7" fillId="0" borderId="70" xfId="0" applyFont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/>
    </xf>
    <xf numFmtId="0" fontId="7" fillId="0" borderId="66" xfId="0" applyFont="1" applyBorder="1" applyAlignment="1">
      <alignment horizontal="center"/>
    </xf>
    <xf numFmtId="0" fontId="7" fillId="0" borderId="67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36" xfId="0" applyBorder="1"/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7" fillId="0" borderId="22" xfId="0" applyFont="1" applyBorder="1"/>
    <xf numFmtId="0" fontId="5" fillId="0" borderId="2" xfId="0" applyFont="1" applyBorder="1" applyAlignment="1">
      <alignment horizontal="center" vertical="center"/>
    </xf>
    <xf numFmtId="0" fontId="7" fillId="0" borderId="4" xfId="0" applyFont="1" applyBorder="1"/>
    <xf numFmtId="0" fontId="7" fillId="0" borderId="6" xfId="0" applyFont="1" applyBorder="1"/>
    <xf numFmtId="0" fontId="7" fillId="0" borderId="9" xfId="0" applyFont="1" applyBorder="1"/>
    <xf numFmtId="0" fontId="5" fillId="0" borderId="37" xfId="0" applyFont="1" applyBorder="1" applyAlignment="1">
      <alignment horizontal="center" vertical="center"/>
    </xf>
    <xf numFmtId="0" fontId="7" fillId="0" borderId="44" xfId="0" applyFont="1" applyBorder="1"/>
    <xf numFmtId="16" fontId="5" fillId="0" borderId="17" xfId="0" applyNumberFormat="1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43" xfId="0" applyFont="1" applyBorder="1" applyAlignment="1">
      <alignment horizontal="center" wrapText="1"/>
    </xf>
    <xf numFmtId="0" fontId="7" fillId="0" borderId="45" xfId="0" applyFont="1" applyBorder="1"/>
    <xf numFmtId="0" fontId="16" fillId="0" borderId="18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right" vertical="center"/>
    </xf>
    <xf numFmtId="0" fontId="2" fillId="0" borderId="0" xfId="0" applyFont="1"/>
    <xf numFmtId="0" fontId="16" fillId="0" borderId="39" xfId="0" applyFont="1" applyBorder="1" applyAlignment="1">
      <alignment horizontal="center" vertical="center" wrapText="1"/>
    </xf>
    <xf numFmtId="0" fontId="7" fillId="0" borderId="40" xfId="0" applyFont="1" applyBorder="1"/>
    <xf numFmtId="0" fontId="7" fillId="0" borderId="41" xfId="0" applyFont="1" applyBorder="1"/>
    <xf numFmtId="0" fontId="7" fillId="0" borderId="29" xfId="0" applyFont="1" applyBorder="1"/>
    <xf numFmtId="0" fontId="7" fillId="0" borderId="42" xfId="0" applyFont="1" applyBorder="1"/>
    <xf numFmtId="0" fontId="5" fillId="0" borderId="4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7" fillId="0" borderId="24" xfId="0" applyFont="1" applyBorder="1"/>
    <xf numFmtId="0" fontId="7" fillId="0" borderId="30" xfId="0" applyFont="1" applyBorder="1"/>
    <xf numFmtId="0" fontId="7" fillId="0" borderId="50" xfId="0" applyFont="1" applyBorder="1"/>
    <xf numFmtId="0" fontId="7" fillId="0" borderId="37" xfId="0" applyFont="1" applyBorder="1"/>
    <xf numFmtId="0" fontId="12" fillId="29" borderId="1" xfId="0" applyFont="1" applyFill="1" applyBorder="1" applyAlignment="1">
      <alignment horizontal="center" vertical="center"/>
    </xf>
    <xf numFmtId="0" fontId="2" fillId="20" borderId="19" xfId="0" applyFont="1" applyFill="1" applyBorder="1" applyAlignment="1">
      <alignment horizontal="center" vertical="center"/>
    </xf>
    <xf numFmtId="0" fontId="11" fillId="21" borderId="17" xfId="0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52600" cy="94297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52600" cy="942974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1451982" cy="69695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1451982" cy="696951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0</xdr:rowOff>
    </xdr:from>
    <xdr:ext cx="1666874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666874" cy="8953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66874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F0C6B98B-8AD4-457E-80EB-ABD0EB325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66874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</xdr:colOff>
      <xdr:row>0</xdr:row>
      <xdr:rowOff>0</xdr:rowOff>
    </xdr:from>
    <xdr:ext cx="1666874" cy="895350"/>
    <xdr:pic>
      <xdr:nvPicPr>
        <xdr:cNvPr id="3" name="image1.png">
          <a:extLst>
            <a:ext uri="{FF2B5EF4-FFF2-40B4-BE49-F238E27FC236}">
              <a16:creationId xmlns:a16="http://schemas.microsoft.com/office/drawing/2014/main" id="{DD4FDFE4-9E11-4BC7-918C-A0C95DD796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666874" cy="8953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66874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73383CDD-16F2-44F2-84F8-C80ABF43CC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66874" cy="8953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66874" cy="895350"/>
    <xdr:pic>
      <xdr:nvPicPr>
        <xdr:cNvPr id="2" name="image1.png">
          <a:extLst>
            <a:ext uri="{FF2B5EF4-FFF2-40B4-BE49-F238E27FC236}">
              <a16:creationId xmlns:a16="http://schemas.microsoft.com/office/drawing/2014/main" id="{73C6AC63-2A2C-483A-A798-57AB988AF4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66874" cy="895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48"/>
  <sheetViews>
    <sheetView topLeftCell="A4" workbookViewId="0">
      <pane ySplit="5" topLeftCell="A73" activePane="bottomLeft" state="frozen"/>
      <selection activeCell="A4" sqref="A4"/>
      <selection pane="bottomLeft" activeCell="Y85" sqref="Y85"/>
    </sheetView>
  </sheetViews>
  <sheetFormatPr baseColWidth="10" defaultColWidth="14.5" defaultRowHeight="15" customHeight="1"/>
  <cols>
    <col min="1" max="1" width="3.83203125" customWidth="1"/>
    <col min="2" max="2" width="27.5" customWidth="1"/>
    <col min="3" max="3" width="13" customWidth="1"/>
    <col min="4" max="4" width="10.5" customWidth="1"/>
    <col min="5" max="5" width="9.83203125" customWidth="1"/>
    <col min="6" max="6" width="41.5" customWidth="1"/>
    <col min="7" max="11" width="3.33203125" customWidth="1"/>
    <col min="12" max="14" width="3.5" customWidth="1"/>
    <col min="15" max="16" width="3.33203125" customWidth="1"/>
    <col min="17" max="25" width="3" customWidth="1"/>
    <col min="26" max="27" width="10.6640625" customWidth="1"/>
  </cols>
  <sheetData>
    <row r="1" spans="1:27">
      <c r="A1" s="437" t="s">
        <v>284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</row>
    <row r="2" spans="1:27">
      <c r="A2" s="438"/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</row>
    <row r="3" spans="1:27">
      <c r="A3" s="438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</row>
    <row r="4" spans="1:27" ht="16" thickBot="1">
      <c r="A4" s="440"/>
      <c r="B4" s="441"/>
      <c r="C4" s="441"/>
      <c r="D4" s="441"/>
      <c r="E4" s="441"/>
      <c r="F4" s="441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1"/>
      <c r="AA4" s="441"/>
    </row>
    <row r="5" spans="1:27" ht="15" customHeight="1" thickBot="1">
      <c r="A5" s="443" t="s">
        <v>8</v>
      </c>
      <c r="B5" s="445" t="s">
        <v>0</v>
      </c>
      <c r="C5" s="445" t="s">
        <v>1</v>
      </c>
      <c r="D5" s="446" t="s">
        <v>2</v>
      </c>
      <c r="E5" s="446" t="s">
        <v>3</v>
      </c>
      <c r="F5" s="448" t="s">
        <v>9</v>
      </c>
      <c r="G5" s="451" t="s">
        <v>747</v>
      </c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3"/>
      <c r="Z5" s="450" t="s">
        <v>10</v>
      </c>
      <c r="AA5" s="432" t="s">
        <v>11</v>
      </c>
    </row>
    <row r="6" spans="1:27">
      <c r="A6" s="444"/>
      <c r="B6" s="433"/>
      <c r="C6" s="433"/>
      <c r="D6" s="447"/>
      <c r="E6" s="447"/>
      <c r="F6" s="447"/>
      <c r="G6" s="261" t="s">
        <v>12</v>
      </c>
      <c r="H6" s="261" t="s">
        <v>13</v>
      </c>
      <c r="I6" s="261" t="s">
        <v>13</v>
      </c>
      <c r="J6" s="261" t="s">
        <v>12</v>
      </c>
      <c r="K6" s="261" t="s">
        <v>13</v>
      </c>
      <c r="L6" s="261" t="s">
        <v>13</v>
      </c>
      <c r="M6" s="261" t="s">
        <v>14</v>
      </c>
      <c r="N6" s="261" t="s">
        <v>15</v>
      </c>
      <c r="O6" s="261" t="s">
        <v>12</v>
      </c>
      <c r="P6" s="261" t="s">
        <v>13</v>
      </c>
      <c r="Q6" s="261" t="s">
        <v>13</v>
      </c>
      <c r="R6" s="261" t="s">
        <v>14</v>
      </c>
      <c r="S6" s="261" t="s">
        <v>15</v>
      </c>
      <c r="T6" s="261" t="s">
        <v>12</v>
      </c>
      <c r="U6" s="261" t="s">
        <v>13</v>
      </c>
      <c r="V6" s="261" t="s">
        <v>13</v>
      </c>
      <c r="W6" s="261" t="s">
        <v>14</v>
      </c>
      <c r="X6" s="261" t="s">
        <v>15</v>
      </c>
      <c r="Y6" s="261" t="s">
        <v>12</v>
      </c>
      <c r="Z6" s="433"/>
      <c r="AA6" s="433"/>
    </row>
    <row r="7" spans="1:27">
      <c r="A7" s="444"/>
      <c r="B7" s="433"/>
      <c r="C7" s="433"/>
      <c r="D7" s="447"/>
      <c r="E7" s="447"/>
      <c r="F7" s="447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3">
        <v>13</v>
      </c>
      <c r="T7" s="3">
        <v>14</v>
      </c>
      <c r="U7" s="3">
        <v>15</v>
      </c>
      <c r="V7" s="3">
        <v>16</v>
      </c>
      <c r="W7" s="3">
        <v>17</v>
      </c>
      <c r="X7" s="3">
        <v>18</v>
      </c>
      <c r="Y7" s="3">
        <v>19</v>
      </c>
      <c r="Z7" s="433"/>
      <c r="AA7" s="433"/>
    </row>
    <row r="8" spans="1:27">
      <c r="A8" s="444"/>
      <c r="B8" s="434"/>
      <c r="C8" s="434"/>
      <c r="D8" s="447"/>
      <c r="E8" s="447"/>
      <c r="F8" s="449"/>
      <c r="G8" s="4">
        <v>3</v>
      </c>
      <c r="H8" s="4">
        <v>4</v>
      </c>
      <c r="I8" s="4">
        <v>5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17</v>
      </c>
      <c r="P8" s="4">
        <v>18</v>
      </c>
      <c r="Q8" s="4">
        <v>19</v>
      </c>
      <c r="R8" s="4">
        <v>20</v>
      </c>
      <c r="S8" s="4">
        <v>21</v>
      </c>
      <c r="T8" s="4">
        <v>24</v>
      </c>
      <c r="U8" s="4">
        <v>25</v>
      </c>
      <c r="V8" s="4">
        <v>26</v>
      </c>
      <c r="W8" s="4">
        <v>27</v>
      </c>
      <c r="X8" s="4">
        <v>28</v>
      </c>
      <c r="Y8" s="4">
        <v>31</v>
      </c>
      <c r="Z8" s="434"/>
      <c r="AA8" s="434"/>
    </row>
    <row r="9" spans="1:27" ht="15.75" customHeight="1">
      <c r="A9" s="1">
        <v>1</v>
      </c>
      <c r="B9" s="51" t="s">
        <v>90</v>
      </c>
      <c r="C9" s="52" t="s">
        <v>123</v>
      </c>
      <c r="D9" s="80"/>
      <c r="E9" s="80"/>
      <c r="F9" s="393" t="s">
        <v>718</v>
      </c>
      <c r="G9" s="257"/>
      <c r="H9" s="257"/>
      <c r="I9" s="257"/>
      <c r="J9" s="317">
        <v>1</v>
      </c>
      <c r="K9" s="257"/>
      <c r="L9" s="257"/>
      <c r="M9" s="317">
        <v>1</v>
      </c>
      <c r="N9" s="317">
        <v>1</v>
      </c>
      <c r="O9" s="311">
        <v>1</v>
      </c>
      <c r="P9" s="5"/>
      <c r="Q9" s="311">
        <v>1</v>
      </c>
      <c r="R9" s="257"/>
      <c r="S9" s="257"/>
      <c r="T9" s="311">
        <v>1</v>
      </c>
      <c r="U9" s="311">
        <v>1</v>
      </c>
      <c r="V9" s="311">
        <v>1</v>
      </c>
      <c r="W9" s="257"/>
      <c r="X9" s="311">
        <v>1</v>
      </c>
      <c r="Y9" s="257"/>
      <c r="Z9" s="5">
        <f t="shared" ref="Z9:Z42" si="0">+SUM(G9:Y9)</f>
        <v>9</v>
      </c>
      <c r="AA9" s="5">
        <f>+Z9*32</f>
        <v>288</v>
      </c>
    </row>
    <row r="10" spans="1:27" ht="15.75" customHeight="1">
      <c r="A10" s="1">
        <v>2</v>
      </c>
      <c r="B10" s="51" t="s">
        <v>476</v>
      </c>
      <c r="C10" s="52" t="s">
        <v>160</v>
      </c>
      <c r="D10" s="80"/>
      <c r="E10" s="80"/>
      <c r="F10" s="232"/>
      <c r="G10" s="317">
        <v>1</v>
      </c>
      <c r="H10" s="317">
        <v>1</v>
      </c>
      <c r="I10" s="363"/>
      <c r="J10" s="391">
        <v>1</v>
      </c>
      <c r="K10" s="257"/>
      <c r="L10" s="257"/>
      <c r="M10" s="391">
        <v>1</v>
      </c>
      <c r="N10" s="391">
        <v>0</v>
      </c>
      <c r="O10" s="317">
        <v>1</v>
      </c>
      <c r="P10" s="257"/>
      <c r="Q10" s="391">
        <v>1</v>
      </c>
      <c r="R10" s="257"/>
      <c r="S10" s="257"/>
      <c r="T10" s="391">
        <v>1</v>
      </c>
      <c r="U10" s="257"/>
      <c r="V10" s="257"/>
      <c r="W10" s="317">
        <v>0</v>
      </c>
      <c r="X10" s="311">
        <v>1</v>
      </c>
      <c r="Y10" s="257"/>
      <c r="Z10" s="5">
        <f t="shared" si="0"/>
        <v>8</v>
      </c>
      <c r="AA10" s="5">
        <f t="shared" ref="AA10:AA75" si="1">+Z10*32</f>
        <v>256</v>
      </c>
    </row>
    <row r="11" spans="1:27" ht="15.75" customHeight="1">
      <c r="A11" s="1">
        <v>3</v>
      </c>
      <c r="B11" s="51" t="s">
        <v>517</v>
      </c>
      <c r="C11" s="52" t="s">
        <v>123</v>
      </c>
      <c r="D11" s="80"/>
      <c r="E11" s="80"/>
      <c r="F11" s="52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5">
        <f t="shared" si="0"/>
        <v>0</v>
      </c>
      <c r="AA11" s="5">
        <f t="shared" si="1"/>
        <v>0</v>
      </c>
    </row>
    <row r="12" spans="1:27" ht="15.75" customHeight="1">
      <c r="A12" s="1">
        <v>4</v>
      </c>
      <c r="B12" s="51" t="s">
        <v>290</v>
      </c>
      <c r="C12" s="52" t="s">
        <v>96</v>
      </c>
      <c r="D12" s="80"/>
      <c r="E12" s="80"/>
      <c r="F12" s="52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5">
        <f t="shared" si="0"/>
        <v>0</v>
      </c>
      <c r="AA12" s="5">
        <f t="shared" si="1"/>
        <v>0</v>
      </c>
    </row>
    <row r="13" spans="1:27" ht="15.75" customHeight="1">
      <c r="A13" s="1">
        <v>5</v>
      </c>
      <c r="B13" s="6" t="s">
        <v>65</v>
      </c>
      <c r="C13" s="10" t="s">
        <v>114</v>
      </c>
      <c r="D13" s="76"/>
      <c r="E13" s="76"/>
      <c r="F13" s="193" t="s">
        <v>784</v>
      </c>
      <c r="G13" s="309">
        <v>1</v>
      </c>
      <c r="H13" s="309">
        <v>1</v>
      </c>
      <c r="I13" s="309"/>
      <c r="J13" s="309">
        <v>1</v>
      </c>
      <c r="K13" s="309">
        <v>1</v>
      </c>
      <c r="L13" s="309">
        <v>1</v>
      </c>
      <c r="M13" s="309">
        <v>1</v>
      </c>
      <c r="N13" s="309">
        <v>1</v>
      </c>
      <c r="O13" s="309">
        <v>1</v>
      </c>
      <c r="P13" s="309">
        <v>0</v>
      </c>
      <c r="Q13" s="309">
        <v>1</v>
      </c>
      <c r="R13" s="309">
        <v>1</v>
      </c>
      <c r="S13" s="309">
        <v>0</v>
      </c>
      <c r="T13" s="309">
        <v>1</v>
      </c>
      <c r="U13" s="309">
        <v>1</v>
      </c>
      <c r="V13" s="309">
        <v>1</v>
      </c>
      <c r="W13" s="309">
        <v>1</v>
      </c>
      <c r="X13" s="309">
        <v>1</v>
      </c>
      <c r="Y13" s="309"/>
      <c r="Z13" s="5">
        <f t="shared" si="0"/>
        <v>15</v>
      </c>
      <c r="AA13" s="5">
        <f t="shared" si="1"/>
        <v>480</v>
      </c>
    </row>
    <row r="14" spans="1:27" ht="15.75" customHeight="1">
      <c r="A14" s="1">
        <v>6</v>
      </c>
      <c r="B14" s="6" t="s">
        <v>220</v>
      </c>
      <c r="C14" s="10" t="s">
        <v>117</v>
      </c>
      <c r="D14" s="76"/>
      <c r="E14" s="76"/>
      <c r="F14" s="10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5">
        <f t="shared" si="0"/>
        <v>0</v>
      </c>
      <c r="AA14" s="5">
        <f t="shared" si="1"/>
        <v>0</v>
      </c>
    </row>
    <row r="15" spans="1:27" s="406" customFormat="1" ht="15.75" customHeight="1">
      <c r="A15" s="1">
        <v>7</v>
      </c>
      <c r="B15" s="6" t="s">
        <v>789</v>
      </c>
      <c r="C15" s="10" t="s">
        <v>114</v>
      </c>
      <c r="D15" s="76"/>
      <c r="E15" s="76"/>
      <c r="F15" s="10"/>
      <c r="G15" s="258"/>
      <c r="H15" s="258"/>
      <c r="I15" s="258"/>
      <c r="J15" s="258"/>
      <c r="K15" s="258"/>
      <c r="L15" s="258"/>
      <c r="M15" s="258"/>
      <c r="N15" s="258"/>
      <c r="O15" s="258"/>
      <c r="P15" s="309">
        <v>1</v>
      </c>
      <c r="Q15" s="258"/>
      <c r="R15" s="258"/>
      <c r="S15" s="258"/>
      <c r="T15" s="258"/>
      <c r="U15" s="258"/>
      <c r="V15" s="258"/>
      <c r="W15" s="258"/>
      <c r="X15" s="258"/>
      <c r="Y15" s="258"/>
      <c r="Z15" s="5"/>
      <c r="AA15" s="5"/>
    </row>
    <row r="16" spans="1:27" ht="15.75" customHeight="1">
      <c r="A16" s="1">
        <v>8</v>
      </c>
      <c r="B16" s="6" t="s">
        <v>266</v>
      </c>
      <c r="C16" s="10" t="s">
        <v>114</v>
      </c>
      <c r="D16" s="78"/>
      <c r="E16" s="78"/>
      <c r="F16" s="59"/>
      <c r="G16" s="317">
        <v>1</v>
      </c>
      <c r="H16" s="317">
        <v>1</v>
      </c>
      <c r="I16" s="317"/>
      <c r="J16" s="317">
        <v>1</v>
      </c>
      <c r="K16" s="317">
        <v>1</v>
      </c>
      <c r="L16" s="317">
        <v>1</v>
      </c>
      <c r="M16" s="317">
        <v>1</v>
      </c>
      <c r="N16" s="317">
        <v>1</v>
      </c>
      <c r="O16" s="317">
        <v>1</v>
      </c>
      <c r="P16" s="317">
        <v>1</v>
      </c>
      <c r="Q16" s="317">
        <v>1</v>
      </c>
      <c r="R16" s="317">
        <v>1</v>
      </c>
      <c r="S16" s="317">
        <v>1</v>
      </c>
      <c r="T16" s="317">
        <v>1</v>
      </c>
      <c r="U16" s="317">
        <v>1</v>
      </c>
      <c r="V16" s="317">
        <v>1</v>
      </c>
      <c r="W16" s="317">
        <v>1</v>
      </c>
      <c r="X16" s="317">
        <v>1</v>
      </c>
      <c r="Y16" s="317"/>
      <c r="Z16" s="5">
        <f t="shared" si="0"/>
        <v>17</v>
      </c>
      <c r="AA16" s="5">
        <f t="shared" si="1"/>
        <v>544</v>
      </c>
    </row>
    <row r="17" spans="1:27" ht="15.75" customHeight="1">
      <c r="A17" s="1">
        <v>9</v>
      </c>
      <c r="B17" s="6" t="s">
        <v>627</v>
      </c>
      <c r="C17" s="10" t="s">
        <v>160</v>
      </c>
      <c r="D17" s="78"/>
      <c r="E17" s="78"/>
      <c r="F17" s="8"/>
      <c r="G17" s="317">
        <v>1</v>
      </c>
      <c r="H17" s="257"/>
      <c r="I17" s="257"/>
      <c r="J17" s="317">
        <v>1</v>
      </c>
      <c r="K17" s="257"/>
      <c r="L17" s="257"/>
      <c r="M17" s="257"/>
      <c r="N17" s="257"/>
      <c r="O17" s="317">
        <v>1</v>
      </c>
      <c r="P17" s="257"/>
      <c r="Q17" s="257"/>
      <c r="R17" s="257"/>
      <c r="S17" s="257"/>
      <c r="T17" s="257"/>
      <c r="U17" s="317">
        <v>1</v>
      </c>
      <c r="V17" s="257"/>
      <c r="W17" s="257"/>
      <c r="X17" s="257"/>
      <c r="Y17" s="257"/>
      <c r="Z17" s="5">
        <f t="shared" si="0"/>
        <v>4</v>
      </c>
      <c r="AA17" s="5">
        <f t="shared" si="1"/>
        <v>128</v>
      </c>
    </row>
    <row r="18" spans="1:27" ht="15.75" customHeight="1">
      <c r="A18" s="1">
        <v>10</v>
      </c>
      <c r="B18" s="6" t="s">
        <v>715</v>
      </c>
      <c r="C18" s="10" t="s">
        <v>118</v>
      </c>
      <c r="D18" s="78"/>
      <c r="E18" s="78"/>
      <c r="F18" s="8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5">
        <f t="shared" si="0"/>
        <v>0</v>
      </c>
      <c r="AA18" s="5">
        <f t="shared" si="1"/>
        <v>0</v>
      </c>
    </row>
    <row r="19" spans="1:27" ht="15.75" customHeight="1">
      <c r="A19" s="1">
        <v>11</v>
      </c>
      <c r="B19" s="6" t="s">
        <v>477</v>
      </c>
      <c r="C19" s="10" t="s">
        <v>160</v>
      </c>
      <c r="D19" s="78"/>
      <c r="E19" s="78"/>
      <c r="F19" s="227"/>
      <c r="G19" s="317">
        <v>1</v>
      </c>
      <c r="H19" s="317">
        <v>1</v>
      </c>
      <c r="I19" s="363"/>
      <c r="J19" s="317">
        <v>1</v>
      </c>
      <c r="K19" s="317">
        <v>1</v>
      </c>
      <c r="L19" s="317">
        <v>1</v>
      </c>
      <c r="M19" s="317">
        <v>1</v>
      </c>
      <c r="N19" s="317">
        <v>1</v>
      </c>
      <c r="O19" s="317">
        <v>1</v>
      </c>
      <c r="P19" s="317">
        <v>1</v>
      </c>
      <c r="Q19" s="312">
        <v>1</v>
      </c>
      <c r="R19" s="317">
        <v>1</v>
      </c>
      <c r="S19" s="363"/>
      <c r="T19" s="317">
        <v>1</v>
      </c>
      <c r="U19" s="317">
        <v>1</v>
      </c>
      <c r="V19" s="317">
        <v>1</v>
      </c>
      <c r="W19" s="317">
        <v>1</v>
      </c>
      <c r="X19" s="317">
        <v>1</v>
      </c>
      <c r="Y19" s="311"/>
      <c r="Z19" s="5">
        <f t="shared" si="0"/>
        <v>16</v>
      </c>
      <c r="AA19" s="5">
        <f t="shared" si="1"/>
        <v>512</v>
      </c>
    </row>
    <row r="20" spans="1:27" ht="15.75" customHeight="1">
      <c r="A20" s="1">
        <v>12</v>
      </c>
      <c r="B20" s="6" t="s">
        <v>516</v>
      </c>
      <c r="C20" s="10" t="s">
        <v>118</v>
      </c>
      <c r="D20" s="78"/>
      <c r="E20" s="78"/>
      <c r="F20" s="223"/>
      <c r="G20" s="363"/>
      <c r="H20" s="363"/>
      <c r="I20" s="363"/>
      <c r="J20" s="257"/>
      <c r="K20" s="257"/>
      <c r="L20" s="317">
        <v>1</v>
      </c>
      <c r="M20" s="257"/>
      <c r="N20" s="257"/>
      <c r="O20" s="257"/>
      <c r="P20" s="317">
        <v>1</v>
      </c>
      <c r="Q20" s="257"/>
      <c r="R20" s="317">
        <v>1</v>
      </c>
      <c r="S20" s="257"/>
      <c r="T20" s="317">
        <v>1</v>
      </c>
      <c r="U20" s="257"/>
      <c r="V20" s="311">
        <v>1</v>
      </c>
      <c r="W20" s="311">
        <v>1</v>
      </c>
      <c r="X20" s="257"/>
      <c r="Y20" s="257"/>
      <c r="Z20" s="5">
        <f t="shared" si="0"/>
        <v>6</v>
      </c>
      <c r="AA20" s="5">
        <f t="shared" si="1"/>
        <v>192</v>
      </c>
    </row>
    <row r="21" spans="1:27">
      <c r="A21" s="1">
        <v>13</v>
      </c>
      <c r="B21" s="6" t="s">
        <v>292</v>
      </c>
      <c r="C21" s="10" t="s">
        <v>114</v>
      </c>
      <c r="D21" s="79"/>
      <c r="E21" s="79"/>
      <c r="F21" s="50"/>
      <c r="G21" s="257"/>
      <c r="H21" s="257"/>
      <c r="I21" s="363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5">
        <f t="shared" si="0"/>
        <v>0</v>
      </c>
      <c r="AA21" s="5">
        <f t="shared" si="1"/>
        <v>0</v>
      </c>
    </row>
    <row r="22" spans="1:27">
      <c r="A22" s="1">
        <v>14</v>
      </c>
      <c r="B22" s="6" t="s">
        <v>59</v>
      </c>
      <c r="C22" s="7" t="s">
        <v>117</v>
      </c>
      <c r="D22" s="79"/>
      <c r="E22" s="79"/>
      <c r="F22" s="394" t="s">
        <v>785</v>
      </c>
      <c r="G22" s="257"/>
      <c r="H22" s="257"/>
      <c r="I22" s="363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5">
        <f t="shared" si="0"/>
        <v>0</v>
      </c>
      <c r="AA22" s="5">
        <f t="shared" si="1"/>
        <v>0</v>
      </c>
    </row>
    <row r="23" spans="1:27">
      <c r="A23" s="1">
        <v>15</v>
      </c>
      <c r="B23" s="6" t="s">
        <v>55</v>
      </c>
      <c r="C23" s="10" t="s">
        <v>123</v>
      </c>
      <c r="D23" s="79"/>
      <c r="E23" s="79"/>
      <c r="F23" s="50"/>
      <c r="G23" s="363"/>
      <c r="H23" s="317">
        <v>1</v>
      </c>
      <c r="I23" s="363"/>
      <c r="J23" s="317">
        <v>1</v>
      </c>
      <c r="K23" s="317">
        <v>1</v>
      </c>
      <c r="L23" s="317">
        <v>1</v>
      </c>
      <c r="M23" s="317">
        <v>1</v>
      </c>
      <c r="N23" s="317">
        <v>1</v>
      </c>
      <c r="O23" s="317">
        <v>1</v>
      </c>
      <c r="P23" s="317">
        <v>1</v>
      </c>
      <c r="Q23" s="317">
        <v>1</v>
      </c>
      <c r="R23" s="317">
        <v>1</v>
      </c>
      <c r="S23" s="317">
        <v>1</v>
      </c>
      <c r="T23" s="317">
        <v>1</v>
      </c>
      <c r="U23" s="317">
        <v>1</v>
      </c>
      <c r="V23" s="317">
        <v>1</v>
      </c>
      <c r="W23" s="317">
        <v>1</v>
      </c>
      <c r="X23" s="317">
        <v>1</v>
      </c>
      <c r="Y23" s="317"/>
      <c r="Z23" s="5">
        <f t="shared" si="0"/>
        <v>16</v>
      </c>
      <c r="AA23" s="5">
        <f t="shared" si="1"/>
        <v>512</v>
      </c>
    </row>
    <row r="24" spans="1:27">
      <c r="A24" s="1">
        <v>16</v>
      </c>
      <c r="B24" s="6" t="s">
        <v>713</v>
      </c>
      <c r="C24" s="10" t="s">
        <v>160</v>
      </c>
      <c r="D24" s="79"/>
      <c r="E24" s="79"/>
      <c r="F24" s="50"/>
      <c r="G24" s="257"/>
      <c r="H24" s="257"/>
      <c r="I24" s="363"/>
      <c r="J24" s="257"/>
      <c r="K24" s="257"/>
      <c r="L24" s="257"/>
      <c r="M24" s="257"/>
      <c r="N24" s="257"/>
      <c r="O24" s="317">
        <v>1</v>
      </c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5">
        <f t="shared" si="0"/>
        <v>1</v>
      </c>
      <c r="AA24" s="5">
        <f t="shared" si="1"/>
        <v>32</v>
      </c>
    </row>
    <row r="25" spans="1:27" ht="15.75" customHeight="1">
      <c r="A25" s="1">
        <v>17</v>
      </c>
      <c r="B25" s="49" t="s">
        <v>222</v>
      </c>
      <c r="C25" s="53" t="s">
        <v>114</v>
      </c>
      <c r="D25" s="79"/>
      <c r="E25" s="81"/>
      <c r="F25" s="54"/>
      <c r="G25" s="257"/>
      <c r="H25" s="257"/>
      <c r="I25" s="363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5">
        <f t="shared" si="0"/>
        <v>0</v>
      </c>
      <c r="AA25" s="5">
        <f t="shared" si="1"/>
        <v>0</v>
      </c>
    </row>
    <row r="26" spans="1:27" ht="15.75" customHeight="1">
      <c r="A26" s="1">
        <v>18</v>
      </c>
      <c r="B26" s="49" t="s">
        <v>294</v>
      </c>
      <c r="C26" s="53" t="s">
        <v>117</v>
      </c>
      <c r="D26" s="79" t="s">
        <v>479</v>
      </c>
      <c r="E26" s="81"/>
      <c r="F26" s="233"/>
      <c r="G26" s="317">
        <v>1</v>
      </c>
      <c r="H26" s="391">
        <v>1</v>
      </c>
      <c r="I26" s="363"/>
      <c r="J26" s="257"/>
      <c r="K26" s="257"/>
      <c r="L26" s="257"/>
      <c r="M26" s="257"/>
      <c r="N26" s="391">
        <v>1</v>
      </c>
      <c r="O26" s="391">
        <v>1</v>
      </c>
      <c r="P26" s="257"/>
      <c r="Q26" s="317">
        <v>1</v>
      </c>
      <c r="R26" s="257"/>
      <c r="S26" s="257"/>
      <c r="T26" s="317">
        <v>1</v>
      </c>
      <c r="U26" s="257"/>
      <c r="V26" s="257"/>
      <c r="W26" s="317">
        <v>0</v>
      </c>
      <c r="X26" s="311">
        <v>1</v>
      </c>
      <c r="Y26" s="257"/>
      <c r="Z26" s="5">
        <f t="shared" si="0"/>
        <v>7</v>
      </c>
      <c r="AA26" s="5">
        <f t="shared" si="1"/>
        <v>224</v>
      </c>
    </row>
    <row r="27" spans="1:27" ht="15.75" customHeight="1">
      <c r="A27" s="1">
        <v>19</v>
      </c>
      <c r="B27" s="49" t="s">
        <v>625</v>
      </c>
      <c r="C27" s="53" t="s">
        <v>96</v>
      </c>
      <c r="D27" s="79"/>
      <c r="E27" s="81"/>
      <c r="F27" s="54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5">
        <f t="shared" si="0"/>
        <v>0</v>
      </c>
      <c r="AA27" s="5">
        <f t="shared" si="1"/>
        <v>0</v>
      </c>
    </row>
    <row r="28" spans="1:27">
      <c r="A28" s="1">
        <v>20</v>
      </c>
      <c r="B28" s="49" t="s">
        <v>172</v>
      </c>
      <c r="C28" s="53" t="s">
        <v>114</v>
      </c>
      <c r="D28" s="68"/>
      <c r="E28" s="68"/>
      <c r="F28" s="196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  <c r="Z28" s="5">
        <f t="shared" si="0"/>
        <v>0</v>
      </c>
      <c r="AA28" s="5">
        <f t="shared" si="1"/>
        <v>0</v>
      </c>
    </row>
    <row r="29" spans="1:27">
      <c r="A29" s="1">
        <v>21</v>
      </c>
      <c r="B29" s="49" t="s">
        <v>641</v>
      </c>
      <c r="C29" s="53" t="s">
        <v>118</v>
      </c>
      <c r="D29" s="68"/>
      <c r="E29" s="68"/>
      <c r="F29" s="426" t="s">
        <v>554</v>
      </c>
      <c r="G29" s="365">
        <v>1</v>
      </c>
      <c r="H29" s="365">
        <v>1</v>
      </c>
      <c r="I29" s="365"/>
      <c r="J29" s="365">
        <v>1</v>
      </c>
      <c r="K29" s="365">
        <v>1</v>
      </c>
      <c r="L29" s="365">
        <v>1</v>
      </c>
      <c r="M29" s="365">
        <v>1</v>
      </c>
      <c r="N29" s="365">
        <v>1</v>
      </c>
      <c r="O29" s="365">
        <v>1</v>
      </c>
      <c r="P29" s="365">
        <v>1</v>
      </c>
      <c r="Q29" s="365">
        <v>1</v>
      </c>
      <c r="R29" s="365">
        <v>1</v>
      </c>
      <c r="S29" s="365">
        <v>1</v>
      </c>
      <c r="T29" s="365">
        <v>1</v>
      </c>
      <c r="U29" s="365">
        <v>1</v>
      </c>
      <c r="V29" s="365">
        <v>1</v>
      </c>
      <c r="W29" s="365">
        <v>1</v>
      </c>
      <c r="X29" s="365">
        <v>1</v>
      </c>
      <c r="Y29" s="365"/>
      <c r="Z29" s="5">
        <f t="shared" si="0"/>
        <v>17</v>
      </c>
      <c r="AA29" s="5">
        <f t="shared" si="1"/>
        <v>544</v>
      </c>
    </row>
    <row r="30" spans="1:27">
      <c r="A30" s="1">
        <v>22</v>
      </c>
      <c r="B30" s="49" t="s">
        <v>707</v>
      </c>
      <c r="C30" s="53" t="s">
        <v>160</v>
      </c>
      <c r="D30" s="68"/>
      <c r="E30" s="68"/>
      <c r="F30" s="196"/>
      <c r="G30" s="258"/>
      <c r="H30" s="258"/>
      <c r="I30" s="258"/>
      <c r="J30" s="258"/>
      <c r="K30" s="258"/>
      <c r="L30" s="258"/>
      <c r="M30" s="258"/>
      <c r="N30" s="258"/>
      <c r="O30" s="309">
        <v>1</v>
      </c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5">
        <f t="shared" si="0"/>
        <v>1</v>
      </c>
      <c r="AA30" s="5">
        <f t="shared" si="1"/>
        <v>32</v>
      </c>
    </row>
    <row r="31" spans="1:27" ht="15.75" customHeight="1">
      <c r="A31" s="1">
        <v>23</v>
      </c>
      <c r="B31" s="49" t="s">
        <v>295</v>
      </c>
      <c r="C31" s="53" t="s">
        <v>114</v>
      </c>
      <c r="D31" s="76"/>
      <c r="E31" s="76"/>
      <c r="F31" s="196"/>
      <c r="G31" s="308">
        <v>1</v>
      </c>
      <c r="H31" s="309">
        <v>1</v>
      </c>
      <c r="I31" s="309"/>
      <c r="J31" s="309">
        <v>1</v>
      </c>
      <c r="K31" s="309">
        <v>1</v>
      </c>
      <c r="L31" s="309">
        <v>1</v>
      </c>
      <c r="M31" s="309">
        <v>1</v>
      </c>
      <c r="N31" s="309">
        <v>1</v>
      </c>
      <c r="O31" s="309">
        <v>1</v>
      </c>
      <c r="P31" s="309">
        <v>1</v>
      </c>
      <c r="Q31" s="309">
        <v>1</v>
      </c>
      <c r="R31" s="309">
        <v>1</v>
      </c>
      <c r="S31" s="309">
        <v>1</v>
      </c>
      <c r="T31" s="309">
        <v>1</v>
      </c>
      <c r="U31" s="309">
        <v>1</v>
      </c>
      <c r="V31" s="309">
        <v>1</v>
      </c>
      <c r="W31" s="309">
        <v>1</v>
      </c>
      <c r="X31" s="309">
        <v>1</v>
      </c>
      <c r="Y31" s="309"/>
      <c r="Z31" s="5">
        <f t="shared" si="0"/>
        <v>17</v>
      </c>
      <c r="AA31" s="5">
        <f t="shared" si="1"/>
        <v>544</v>
      </c>
    </row>
    <row r="32" spans="1:27" s="380" customFormat="1" ht="15.75" customHeight="1">
      <c r="A32" s="1">
        <v>24</v>
      </c>
      <c r="B32" s="49" t="s">
        <v>768</v>
      </c>
      <c r="C32" s="53" t="s">
        <v>160</v>
      </c>
      <c r="D32" s="76"/>
      <c r="E32" s="76"/>
      <c r="F32" s="196"/>
      <c r="G32" s="57"/>
      <c r="H32" s="344"/>
      <c r="I32" s="344"/>
      <c r="J32" s="309">
        <v>1</v>
      </c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44"/>
      <c r="Z32" s="5"/>
      <c r="AA32" s="5"/>
    </row>
    <row r="33" spans="1:28" ht="15.75" customHeight="1">
      <c r="A33" s="1">
        <v>25</v>
      </c>
      <c r="B33" s="49" t="s">
        <v>215</v>
      </c>
      <c r="C33" s="53" t="s">
        <v>114</v>
      </c>
      <c r="D33" s="79"/>
      <c r="E33" s="81"/>
      <c r="F33" s="413" t="s">
        <v>801</v>
      </c>
      <c r="G33" s="365">
        <v>1</v>
      </c>
      <c r="H33" s="365">
        <v>1</v>
      </c>
      <c r="I33" s="344"/>
      <c r="J33" s="365">
        <v>1</v>
      </c>
      <c r="K33" s="365">
        <v>1</v>
      </c>
      <c r="L33" s="365">
        <v>1</v>
      </c>
      <c r="M33" s="365">
        <v>1</v>
      </c>
      <c r="N33" s="365">
        <v>1</v>
      </c>
      <c r="O33" s="365">
        <v>1</v>
      </c>
      <c r="P33" s="365">
        <v>1</v>
      </c>
      <c r="Q33" s="365">
        <v>1</v>
      </c>
      <c r="R33" s="365">
        <v>1</v>
      </c>
      <c r="S33" s="365">
        <v>1</v>
      </c>
      <c r="T33" s="365">
        <v>1</v>
      </c>
      <c r="U33" s="365">
        <v>1</v>
      </c>
      <c r="V33" s="365">
        <v>1</v>
      </c>
      <c r="W33" s="365">
        <v>1</v>
      </c>
      <c r="X33" s="365">
        <v>1</v>
      </c>
      <c r="Y33" s="365"/>
      <c r="Z33" s="5">
        <f t="shared" si="0"/>
        <v>17</v>
      </c>
      <c r="AA33" s="5">
        <f t="shared" si="1"/>
        <v>544</v>
      </c>
    </row>
    <row r="34" spans="1:28" ht="15.75" customHeight="1">
      <c r="A34" s="1">
        <v>26</v>
      </c>
      <c r="B34" s="49" t="s">
        <v>591</v>
      </c>
      <c r="C34" s="53" t="s">
        <v>123</v>
      </c>
      <c r="D34" s="79"/>
      <c r="E34" s="81"/>
      <c r="F34" s="19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5">
        <f t="shared" si="0"/>
        <v>0</v>
      </c>
      <c r="AA34" s="5">
        <f t="shared" si="1"/>
        <v>0</v>
      </c>
    </row>
    <row r="35" spans="1:28" ht="15.75" customHeight="1">
      <c r="A35" s="1">
        <v>27</v>
      </c>
      <c r="B35" s="49" t="s">
        <v>584</v>
      </c>
      <c r="C35" s="53" t="s">
        <v>118</v>
      </c>
      <c r="D35" s="79"/>
      <c r="E35" s="81"/>
      <c r="F35" s="198"/>
      <c r="G35" s="258"/>
      <c r="H35" s="309">
        <v>1</v>
      </c>
      <c r="I35" s="258"/>
      <c r="J35" s="309">
        <v>1</v>
      </c>
      <c r="K35" s="258"/>
      <c r="L35" s="258"/>
      <c r="M35" s="258"/>
      <c r="N35" s="258"/>
      <c r="O35" s="309">
        <v>1</v>
      </c>
      <c r="P35" s="258"/>
      <c r="Q35" s="258"/>
      <c r="R35" s="258"/>
      <c r="S35" s="309">
        <v>1</v>
      </c>
      <c r="T35" s="258"/>
      <c r="U35" s="258"/>
      <c r="V35" s="258"/>
      <c r="W35" s="310">
        <v>1</v>
      </c>
      <c r="X35" s="258"/>
      <c r="Y35" s="309"/>
      <c r="Z35" s="5">
        <f t="shared" si="0"/>
        <v>5</v>
      </c>
      <c r="AA35" s="5">
        <f t="shared" si="1"/>
        <v>160</v>
      </c>
    </row>
    <row r="36" spans="1:28" ht="15.75" customHeight="1">
      <c r="A36" s="1">
        <v>28</v>
      </c>
      <c r="B36" s="49" t="s">
        <v>690</v>
      </c>
      <c r="C36" s="53" t="s">
        <v>118</v>
      </c>
      <c r="D36" s="79"/>
      <c r="E36" s="81"/>
      <c r="F36" s="198"/>
      <c r="G36" s="258"/>
      <c r="H36" s="309">
        <v>1</v>
      </c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5">
        <f t="shared" si="0"/>
        <v>1</v>
      </c>
      <c r="AA36" s="5">
        <f t="shared" si="1"/>
        <v>32</v>
      </c>
    </row>
    <row r="37" spans="1:28" ht="15.75" customHeight="1">
      <c r="A37" s="1">
        <v>29</v>
      </c>
      <c r="B37" s="49" t="s">
        <v>720</v>
      </c>
      <c r="C37" s="53" t="s">
        <v>96</v>
      </c>
      <c r="D37" s="79"/>
      <c r="E37" s="81"/>
      <c r="F37" s="19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5">
        <f t="shared" si="0"/>
        <v>0</v>
      </c>
      <c r="AA37" s="5">
        <f t="shared" si="1"/>
        <v>0</v>
      </c>
    </row>
    <row r="38" spans="1:28" ht="15.75" customHeight="1">
      <c r="A38" s="1">
        <v>30</v>
      </c>
      <c r="B38" s="49" t="s">
        <v>296</v>
      </c>
      <c r="C38" s="53" t="s">
        <v>117</v>
      </c>
      <c r="D38" s="79"/>
      <c r="E38" s="79"/>
      <c r="F38" s="206" t="s">
        <v>760</v>
      </c>
      <c r="G38" s="317">
        <v>1</v>
      </c>
      <c r="H38" s="317">
        <v>1</v>
      </c>
      <c r="I38" s="317"/>
      <c r="J38" s="317">
        <v>1</v>
      </c>
      <c r="K38" s="317">
        <v>1</v>
      </c>
      <c r="L38" s="317">
        <v>1</v>
      </c>
      <c r="M38" s="317">
        <v>1</v>
      </c>
      <c r="N38" s="317">
        <v>1</v>
      </c>
      <c r="O38" s="317">
        <v>1</v>
      </c>
      <c r="P38" s="317">
        <v>1</v>
      </c>
      <c r="Q38" s="317">
        <v>1</v>
      </c>
      <c r="R38" s="317">
        <v>1</v>
      </c>
      <c r="S38" s="317">
        <v>1</v>
      </c>
      <c r="T38" s="317">
        <v>1</v>
      </c>
      <c r="U38" s="317">
        <v>1</v>
      </c>
      <c r="V38" s="317">
        <v>1</v>
      </c>
      <c r="W38" s="317">
        <v>1</v>
      </c>
      <c r="X38" s="317">
        <v>1</v>
      </c>
      <c r="Y38" s="317"/>
      <c r="Z38" s="5">
        <f t="shared" si="0"/>
        <v>17</v>
      </c>
      <c r="AA38" s="5">
        <f t="shared" si="1"/>
        <v>544</v>
      </c>
    </row>
    <row r="39" spans="1:28">
      <c r="A39" s="1">
        <v>31</v>
      </c>
      <c r="B39" s="49" t="s">
        <v>76</v>
      </c>
      <c r="C39" s="57" t="s">
        <v>114</v>
      </c>
      <c r="D39" s="81"/>
      <c r="E39" s="81"/>
      <c r="F39" s="413" t="s">
        <v>753</v>
      </c>
      <c r="G39" s="312">
        <v>1</v>
      </c>
      <c r="H39" s="312">
        <v>1</v>
      </c>
      <c r="I39" s="312"/>
      <c r="J39" s="312">
        <v>1</v>
      </c>
      <c r="K39" s="312">
        <v>1</v>
      </c>
      <c r="L39" s="312">
        <v>1</v>
      </c>
      <c r="M39" s="312">
        <v>1</v>
      </c>
      <c r="N39" s="312">
        <v>1</v>
      </c>
      <c r="O39" s="312">
        <v>1</v>
      </c>
      <c r="P39" s="312">
        <v>1</v>
      </c>
      <c r="Q39" s="312">
        <v>1</v>
      </c>
      <c r="R39" s="313">
        <v>1</v>
      </c>
      <c r="S39" s="312">
        <v>1</v>
      </c>
      <c r="T39" s="312">
        <v>1</v>
      </c>
      <c r="U39" s="312">
        <v>1</v>
      </c>
      <c r="V39" s="312">
        <v>1</v>
      </c>
      <c r="W39" s="312">
        <v>1</v>
      </c>
      <c r="X39" s="312">
        <v>1</v>
      </c>
      <c r="Y39" s="312"/>
      <c r="Z39" s="5">
        <f t="shared" si="0"/>
        <v>17</v>
      </c>
      <c r="AA39" s="5">
        <f t="shared" si="1"/>
        <v>544</v>
      </c>
    </row>
    <row r="40" spans="1:28">
      <c r="A40" s="1">
        <v>32</v>
      </c>
      <c r="B40" s="49" t="s">
        <v>511</v>
      </c>
      <c r="C40" s="57" t="s">
        <v>117</v>
      </c>
      <c r="D40" s="81"/>
      <c r="E40" s="81"/>
      <c r="F40" s="198"/>
      <c r="G40" s="257"/>
      <c r="H40" s="257"/>
      <c r="I40" s="257"/>
      <c r="J40" s="257"/>
      <c r="K40" s="257"/>
      <c r="L40" s="259"/>
      <c r="M40" s="259"/>
      <c r="N40" s="259"/>
      <c r="O40" s="259"/>
      <c r="P40" s="259"/>
      <c r="Q40" s="260"/>
      <c r="R40" s="260"/>
      <c r="S40" s="257"/>
      <c r="T40" s="257"/>
      <c r="U40" s="257"/>
      <c r="V40" s="257"/>
      <c r="W40" s="257"/>
      <c r="X40" s="257"/>
      <c r="Y40" s="257"/>
      <c r="Z40" s="5">
        <f t="shared" si="0"/>
        <v>0</v>
      </c>
      <c r="AA40" s="5">
        <f t="shared" si="1"/>
        <v>0</v>
      </c>
      <c r="AB40" s="105"/>
    </row>
    <row r="41" spans="1:28">
      <c r="A41" s="1">
        <v>33</v>
      </c>
      <c r="B41" s="6" t="s">
        <v>54</v>
      </c>
      <c r="C41" s="10" t="s">
        <v>123</v>
      </c>
      <c r="D41" s="81"/>
      <c r="E41" s="81"/>
      <c r="F41" s="239"/>
      <c r="G41" s="257"/>
      <c r="H41" s="257"/>
      <c r="I41" s="363"/>
      <c r="J41" s="257"/>
      <c r="K41" s="257"/>
      <c r="L41" s="259"/>
      <c r="M41" s="259"/>
      <c r="N41" s="259"/>
      <c r="O41" s="259"/>
      <c r="P41" s="259"/>
      <c r="Q41" s="260"/>
      <c r="R41" s="260"/>
      <c r="S41" s="257"/>
      <c r="T41" s="257"/>
      <c r="U41" s="257"/>
      <c r="V41" s="257"/>
      <c r="W41" s="257"/>
      <c r="X41" s="257"/>
      <c r="Y41" s="257"/>
      <c r="Z41" s="5">
        <f t="shared" si="0"/>
        <v>0</v>
      </c>
      <c r="AA41" s="5">
        <f t="shared" si="1"/>
        <v>0</v>
      </c>
    </row>
    <row r="42" spans="1:28" ht="15.75" customHeight="1">
      <c r="A42" s="1">
        <v>34</v>
      </c>
      <c r="B42" s="6" t="s">
        <v>298</v>
      </c>
      <c r="C42" s="5" t="s">
        <v>117</v>
      </c>
      <c r="D42" s="79"/>
      <c r="E42" s="79"/>
      <c r="F42" s="228"/>
      <c r="G42" s="309">
        <v>1</v>
      </c>
      <c r="H42" s="309">
        <v>1</v>
      </c>
      <c r="I42" s="344"/>
      <c r="J42" s="309">
        <v>1</v>
      </c>
      <c r="K42" s="309">
        <v>1</v>
      </c>
      <c r="L42" s="309">
        <v>1</v>
      </c>
      <c r="M42" s="309">
        <v>1</v>
      </c>
      <c r="N42" s="309">
        <v>1</v>
      </c>
      <c r="O42" s="309">
        <v>1</v>
      </c>
      <c r="P42" s="309">
        <v>1</v>
      </c>
      <c r="Q42" s="366">
        <v>1</v>
      </c>
      <c r="R42" s="366">
        <v>1</v>
      </c>
      <c r="S42" s="344"/>
      <c r="T42" s="309">
        <v>1</v>
      </c>
      <c r="U42" s="309">
        <v>1</v>
      </c>
      <c r="V42" s="309">
        <v>1</v>
      </c>
      <c r="W42" s="309">
        <v>1</v>
      </c>
      <c r="X42" s="309">
        <v>1</v>
      </c>
      <c r="Y42" s="309"/>
      <c r="Z42" s="5">
        <f t="shared" si="0"/>
        <v>16</v>
      </c>
      <c r="AA42" s="5">
        <f t="shared" si="1"/>
        <v>512</v>
      </c>
    </row>
    <row r="43" spans="1:28" ht="15.75" customHeight="1">
      <c r="A43" s="1">
        <v>35</v>
      </c>
      <c r="B43" s="6" t="s">
        <v>532</v>
      </c>
      <c r="C43" s="5" t="s">
        <v>118</v>
      </c>
      <c r="D43" s="79"/>
      <c r="E43" s="79"/>
      <c r="F43" s="200" t="s">
        <v>780</v>
      </c>
      <c r="G43" s="310">
        <v>1</v>
      </c>
      <c r="H43" s="310">
        <v>1</v>
      </c>
      <c r="I43" s="344"/>
      <c r="J43" s="310">
        <v>1</v>
      </c>
      <c r="K43" s="310">
        <v>1</v>
      </c>
      <c r="L43" s="310">
        <v>1</v>
      </c>
      <c r="M43" s="310">
        <v>1</v>
      </c>
      <c r="N43" s="310">
        <v>1</v>
      </c>
      <c r="O43" s="310">
        <v>1</v>
      </c>
      <c r="P43" s="310">
        <v>1</v>
      </c>
      <c r="Q43" s="310">
        <v>1</v>
      </c>
      <c r="R43" s="310">
        <v>1</v>
      </c>
      <c r="S43" s="310">
        <v>1</v>
      </c>
      <c r="T43" s="310">
        <v>1</v>
      </c>
      <c r="U43" s="310">
        <v>1</v>
      </c>
      <c r="V43" s="310">
        <v>1</v>
      </c>
      <c r="W43" s="310">
        <v>1</v>
      </c>
      <c r="X43" s="310">
        <v>1</v>
      </c>
      <c r="Y43" s="310"/>
      <c r="Z43" s="5">
        <f t="shared" ref="Z43:Z74" si="2">+SUM(G43:Y43)</f>
        <v>17</v>
      </c>
      <c r="AA43" s="5">
        <f t="shared" si="1"/>
        <v>544</v>
      </c>
    </row>
    <row r="44" spans="1:28" ht="15.75" customHeight="1">
      <c r="A44" s="1">
        <v>36</v>
      </c>
      <c r="B44" s="6" t="s">
        <v>299</v>
      </c>
      <c r="C44" s="5" t="s">
        <v>300</v>
      </c>
      <c r="D44" s="79"/>
      <c r="E44" s="79"/>
      <c r="F44" s="199"/>
      <c r="G44" s="258"/>
      <c r="H44" s="258"/>
      <c r="I44" s="344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5">
        <f t="shared" si="2"/>
        <v>0</v>
      </c>
      <c r="AA44" s="5">
        <f t="shared" si="1"/>
        <v>0</v>
      </c>
    </row>
    <row r="45" spans="1:28" ht="15.75" customHeight="1">
      <c r="A45" s="1">
        <v>37</v>
      </c>
      <c r="B45" s="6" t="s">
        <v>493</v>
      </c>
      <c r="C45" s="5" t="s">
        <v>300</v>
      </c>
      <c r="D45" s="79"/>
      <c r="E45" s="79"/>
      <c r="F45" s="218" t="s">
        <v>737</v>
      </c>
      <c r="G45" s="309">
        <v>1</v>
      </c>
      <c r="H45" s="309">
        <v>1</v>
      </c>
      <c r="I45" s="344"/>
      <c r="J45" s="309">
        <v>0</v>
      </c>
      <c r="K45" s="309">
        <v>1</v>
      </c>
      <c r="L45" s="309">
        <v>1</v>
      </c>
      <c r="M45" s="309">
        <v>1</v>
      </c>
      <c r="N45" s="309">
        <v>1</v>
      </c>
      <c r="O45" s="358">
        <v>1</v>
      </c>
      <c r="P45" s="309">
        <v>1</v>
      </c>
      <c r="Q45" s="309">
        <v>0</v>
      </c>
      <c r="R45" s="309">
        <v>1</v>
      </c>
      <c r="S45" s="309">
        <v>1</v>
      </c>
      <c r="T45" s="309">
        <v>1</v>
      </c>
      <c r="U45" s="309">
        <v>1</v>
      </c>
      <c r="V45" s="309">
        <v>1</v>
      </c>
      <c r="W45" s="309">
        <v>0</v>
      </c>
      <c r="X45" s="309">
        <v>1</v>
      </c>
      <c r="Y45" s="309"/>
      <c r="Z45" s="5">
        <f t="shared" si="2"/>
        <v>14</v>
      </c>
      <c r="AA45" s="5">
        <f t="shared" si="1"/>
        <v>448</v>
      </c>
    </row>
    <row r="46" spans="1:28" ht="15.75" customHeight="1">
      <c r="A46" s="1">
        <v>38</v>
      </c>
      <c r="B46" s="6" t="s">
        <v>468</v>
      </c>
      <c r="C46" s="5" t="s">
        <v>96</v>
      </c>
      <c r="D46" s="79"/>
      <c r="E46" s="79"/>
      <c r="F46" s="199"/>
      <c r="G46" s="309">
        <v>1</v>
      </c>
      <c r="H46" s="309">
        <v>1</v>
      </c>
      <c r="I46" s="344"/>
      <c r="J46" s="309">
        <v>1</v>
      </c>
      <c r="K46" s="309">
        <v>1</v>
      </c>
      <c r="L46" s="309">
        <v>1</v>
      </c>
      <c r="M46" s="309">
        <v>1</v>
      </c>
      <c r="N46" s="309">
        <v>1</v>
      </c>
      <c r="O46" s="309">
        <v>1</v>
      </c>
      <c r="P46" s="309">
        <v>1</v>
      </c>
      <c r="Q46" s="309">
        <v>1</v>
      </c>
      <c r="R46" s="309">
        <v>1</v>
      </c>
      <c r="S46" s="309">
        <v>1</v>
      </c>
      <c r="T46" s="309">
        <v>1</v>
      </c>
      <c r="U46" s="309">
        <v>1</v>
      </c>
      <c r="V46" s="309">
        <v>1</v>
      </c>
      <c r="W46" s="309">
        <v>1</v>
      </c>
      <c r="X46" s="309">
        <v>1</v>
      </c>
      <c r="Y46" s="310"/>
      <c r="Z46" s="5">
        <f t="shared" si="2"/>
        <v>17</v>
      </c>
      <c r="AA46" s="5">
        <f t="shared" si="1"/>
        <v>544</v>
      </c>
    </row>
    <row r="47" spans="1:28" ht="15.75" customHeight="1">
      <c r="A47" s="1">
        <v>39</v>
      </c>
      <c r="B47" s="6" t="s">
        <v>669</v>
      </c>
      <c r="C47" s="5" t="s">
        <v>96</v>
      </c>
      <c r="D47" s="79"/>
      <c r="E47" s="79"/>
      <c r="F47" s="220" t="s">
        <v>678</v>
      </c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5">
        <f t="shared" si="2"/>
        <v>0</v>
      </c>
      <c r="AA47" s="5">
        <f t="shared" si="1"/>
        <v>0</v>
      </c>
    </row>
    <row r="48" spans="1:28" ht="15.75" customHeight="1">
      <c r="A48" s="1">
        <v>40</v>
      </c>
      <c r="B48" s="49" t="s">
        <v>552</v>
      </c>
      <c r="C48" s="50" t="s">
        <v>123</v>
      </c>
      <c r="D48" s="79"/>
      <c r="E48" s="79"/>
      <c r="F48" s="414" t="s">
        <v>793</v>
      </c>
      <c r="G48" s="309">
        <v>1</v>
      </c>
      <c r="H48" s="309">
        <v>1</v>
      </c>
      <c r="I48" s="344"/>
      <c r="J48" s="309">
        <v>1</v>
      </c>
      <c r="K48" s="309">
        <v>1</v>
      </c>
      <c r="L48" s="309">
        <v>1</v>
      </c>
      <c r="M48" s="309">
        <v>1</v>
      </c>
      <c r="N48" s="309">
        <v>1</v>
      </c>
      <c r="O48" s="309">
        <v>1</v>
      </c>
      <c r="P48" s="309">
        <v>1</v>
      </c>
      <c r="Q48" s="309">
        <v>1</v>
      </c>
      <c r="R48" s="309">
        <v>1</v>
      </c>
      <c r="S48" s="309">
        <v>1</v>
      </c>
      <c r="T48" s="309">
        <v>1</v>
      </c>
      <c r="U48" s="309">
        <v>1</v>
      </c>
      <c r="V48" s="309">
        <v>1</v>
      </c>
      <c r="W48" s="309">
        <v>1</v>
      </c>
      <c r="X48" s="309">
        <v>1</v>
      </c>
      <c r="Y48" s="309"/>
      <c r="Z48" s="5">
        <f t="shared" si="2"/>
        <v>17</v>
      </c>
      <c r="AA48" s="5">
        <f t="shared" si="1"/>
        <v>544</v>
      </c>
    </row>
    <row r="49" spans="1:27" ht="15.75" customHeight="1">
      <c r="A49" s="1">
        <v>41</v>
      </c>
      <c r="B49" s="6" t="s">
        <v>301</v>
      </c>
      <c r="C49" s="9" t="s">
        <v>123</v>
      </c>
      <c r="D49" s="77"/>
      <c r="E49" s="77"/>
      <c r="F49" s="201"/>
      <c r="G49" s="309">
        <v>1</v>
      </c>
      <c r="H49" s="309">
        <v>1</v>
      </c>
      <c r="I49" s="344"/>
      <c r="J49" s="309">
        <v>1</v>
      </c>
      <c r="K49" s="309">
        <v>1</v>
      </c>
      <c r="L49" s="309">
        <v>1</v>
      </c>
      <c r="M49" s="309">
        <v>1</v>
      </c>
      <c r="N49" s="309">
        <v>1</v>
      </c>
      <c r="O49" s="310">
        <v>1</v>
      </c>
      <c r="P49" s="310">
        <v>1</v>
      </c>
      <c r="Q49" s="310">
        <v>1</v>
      </c>
      <c r="R49" s="310">
        <v>1</v>
      </c>
      <c r="S49" s="310">
        <v>0</v>
      </c>
      <c r="T49" s="309">
        <v>1</v>
      </c>
      <c r="U49" s="309">
        <v>1</v>
      </c>
      <c r="V49" s="309">
        <v>1</v>
      </c>
      <c r="W49" s="309">
        <v>1</v>
      </c>
      <c r="X49" s="309">
        <v>1</v>
      </c>
      <c r="Y49" s="310"/>
      <c r="Z49" s="5">
        <f t="shared" si="2"/>
        <v>16</v>
      </c>
      <c r="AA49" s="5">
        <f t="shared" si="1"/>
        <v>512</v>
      </c>
    </row>
    <row r="50" spans="1:27" ht="15.75" customHeight="1">
      <c r="A50" s="1">
        <v>42</v>
      </c>
      <c r="B50" s="6" t="s">
        <v>721</v>
      </c>
      <c r="C50" s="9" t="s">
        <v>96</v>
      </c>
      <c r="D50" s="77"/>
      <c r="E50" s="77"/>
      <c r="F50" s="201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58"/>
      <c r="Z50" s="5">
        <f t="shared" si="2"/>
        <v>0</v>
      </c>
      <c r="AA50" s="5">
        <f t="shared" si="1"/>
        <v>0</v>
      </c>
    </row>
    <row r="51" spans="1:27" ht="15.75" customHeight="1">
      <c r="A51" s="1">
        <v>43</v>
      </c>
      <c r="B51" s="49" t="s">
        <v>462</v>
      </c>
      <c r="C51" s="9" t="s">
        <v>118</v>
      </c>
      <c r="D51" s="79"/>
      <c r="E51" s="79"/>
      <c r="F51" s="201"/>
      <c r="G51" s="309">
        <v>1</v>
      </c>
      <c r="H51" s="309">
        <v>1</v>
      </c>
      <c r="I51" s="344"/>
      <c r="J51" s="309">
        <v>1</v>
      </c>
      <c r="K51" s="309">
        <v>1</v>
      </c>
      <c r="L51" s="309">
        <v>1</v>
      </c>
      <c r="M51" s="309">
        <v>1</v>
      </c>
      <c r="N51" s="309">
        <v>0</v>
      </c>
      <c r="O51" s="309">
        <v>1</v>
      </c>
      <c r="P51" s="309">
        <v>1</v>
      </c>
      <c r="Q51" s="309">
        <v>1</v>
      </c>
      <c r="R51" s="309">
        <v>1</v>
      </c>
      <c r="S51" s="309">
        <v>1</v>
      </c>
      <c r="T51" s="309">
        <v>1</v>
      </c>
      <c r="U51" s="309">
        <v>1</v>
      </c>
      <c r="V51" s="309">
        <v>1</v>
      </c>
      <c r="W51" s="309">
        <v>1</v>
      </c>
      <c r="X51" s="309">
        <v>1</v>
      </c>
      <c r="Y51" s="309"/>
      <c r="Z51" s="5">
        <f t="shared" si="2"/>
        <v>16</v>
      </c>
      <c r="AA51" s="5">
        <f t="shared" si="1"/>
        <v>512</v>
      </c>
    </row>
    <row r="52" spans="1:27" ht="15.75" customHeight="1">
      <c r="A52" s="1">
        <v>44</v>
      </c>
      <c r="B52" s="51" t="s">
        <v>605</v>
      </c>
      <c r="C52" s="52" t="s">
        <v>118</v>
      </c>
      <c r="D52" s="76"/>
      <c r="E52" s="76"/>
      <c r="F52" s="196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5">
        <f t="shared" si="2"/>
        <v>0</v>
      </c>
      <c r="AA52" s="5">
        <f t="shared" si="1"/>
        <v>0</v>
      </c>
    </row>
    <row r="53" spans="1:27" ht="15.75" customHeight="1">
      <c r="A53" s="1">
        <v>45</v>
      </c>
      <c r="B53" s="51" t="s">
        <v>302</v>
      </c>
      <c r="C53" s="52" t="s">
        <v>117</v>
      </c>
      <c r="D53" s="76"/>
      <c r="E53" s="76"/>
      <c r="F53" s="197"/>
      <c r="G53" s="309">
        <v>1</v>
      </c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5">
        <f t="shared" si="2"/>
        <v>1</v>
      </c>
      <c r="AA53" s="5">
        <f t="shared" si="1"/>
        <v>32</v>
      </c>
    </row>
    <row r="54" spans="1:27" ht="15.75" customHeight="1">
      <c r="A54" s="1">
        <v>46</v>
      </c>
      <c r="B54" s="51" t="s">
        <v>503</v>
      </c>
      <c r="C54" s="52" t="s">
        <v>118</v>
      </c>
      <c r="D54" s="76"/>
      <c r="E54" s="76"/>
      <c r="F54" s="196"/>
      <c r="G54" s="309">
        <v>1</v>
      </c>
      <c r="H54" s="309">
        <v>0</v>
      </c>
      <c r="I54" s="344"/>
      <c r="J54" s="309">
        <v>1</v>
      </c>
      <c r="K54" s="309">
        <v>1</v>
      </c>
      <c r="L54" s="309">
        <v>1</v>
      </c>
      <c r="M54" s="309">
        <v>1</v>
      </c>
      <c r="N54" s="358">
        <v>1</v>
      </c>
      <c r="O54" s="309">
        <v>1</v>
      </c>
      <c r="P54" s="309">
        <v>1</v>
      </c>
      <c r="Q54" s="309">
        <v>1</v>
      </c>
      <c r="R54" s="309">
        <v>1</v>
      </c>
      <c r="S54" s="309">
        <v>1</v>
      </c>
      <c r="T54" s="309">
        <v>1</v>
      </c>
      <c r="U54" s="309">
        <v>1</v>
      </c>
      <c r="V54" s="309">
        <v>1</v>
      </c>
      <c r="W54" s="309">
        <v>1</v>
      </c>
      <c r="X54" s="309">
        <v>1</v>
      </c>
      <c r="Y54" s="344"/>
      <c r="Z54" s="5">
        <f t="shared" si="2"/>
        <v>16</v>
      </c>
      <c r="AA54" s="5">
        <f t="shared" si="1"/>
        <v>512</v>
      </c>
    </row>
    <row r="55" spans="1:27" ht="15.75" customHeight="1">
      <c r="A55" s="1">
        <v>47</v>
      </c>
      <c r="B55" s="51" t="s">
        <v>716</v>
      </c>
      <c r="C55" s="52" t="s">
        <v>117</v>
      </c>
      <c r="D55" s="76"/>
      <c r="E55" s="76"/>
      <c r="F55" s="196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5">
        <f t="shared" si="2"/>
        <v>0</v>
      </c>
      <c r="AA55" s="5">
        <f t="shared" si="1"/>
        <v>0</v>
      </c>
    </row>
    <row r="56" spans="1:27" ht="15.75" customHeight="1">
      <c r="A56" s="1">
        <v>48</v>
      </c>
      <c r="B56" s="51" t="s">
        <v>706</v>
      </c>
      <c r="C56" s="52" t="s">
        <v>96</v>
      </c>
      <c r="D56" s="76"/>
      <c r="E56" s="76"/>
      <c r="F56" s="196"/>
      <c r="G56" s="309">
        <v>1</v>
      </c>
      <c r="H56" s="258"/>
      <c r="I56" s="258"/>
      <c r="J56" s="258"/>
      <c r="K56" s="309">
        <v>1</v>
      </c>
      <c r="L56" s="258"/>
      <c r="M56" s="258"/>
      <c r="N56" s="309">
        <v>1</v>
      </c>
      <c r="O56" s="309">
        <v>1</v>
      </c>
      <c r="P56" s="344"/>
      <c r="Q56" s="344"/>
      <c r="R56" s="344"/>
      <c r="S56" s="344"/>
      <c r="T56" s="309">
        <v>1</v>
      </c>
      <c r="U56" s="344"/>
      <c r="V56" s="344"/>
      <c r="W56" s="344"/>
      <c r="X56" s="344"/>
      <c r="Y56" s="344"/>
      <c r="Z56" s="5">
        <f t="shared" si="2"/>
        <v>5</v>
      </c>
      <c r="AA56" s="5">
        <f t="shared" si="1"/>
        <v>160</v>
      </c>
    </row>
    <row r="57" spans="1:27" ht="14" customHeight="1">
      <c r="A57" s="1">
        <v>49</v>
      </c>
      <c r="B57" s="109" t="s">
        <v>218</v>
      </c>
      <c r="C57" s="110" t="s">
        <v>123</v>
      </c>
      <c r="D57" s="76"/>
      <c r="E57" s="76"/>
      <c r="F57" s="197"/>
      <c r="G57" s="309">
        <v>1</v>
      </c>
      <c r="H57" s="309">
        <v>1</v>
      </c>
      <c r="I57" s="258"/>
      <c r="J57" s="309">
        <v>1</v>
      </c>
      <c r="K57" s="309">
        <v>1</v>
      </c>
      <c r="L57" s="309">
        <v>1</v>
      </c>
      <c r="M57" s="309">
        <v>1</v>
      </c>
      <c r="N57" s="309">
        <v>1</v>
      </c>
      <c r="O57" s="309">
        <v>1</v>
      </c>
      <c r="P57" s="309">
        <v>1</v>
      </c>
      <c r="Q57" s="309">
        <v>1</v>
      </c>
      <c r="R57" s="309">
        <v>1</v>
      </c>
      <c r="S57" s="309">
        <v>1</v>
      </c>
      <c r="T57" s="309">
        <v>1</v>
      </c>
      <c r="U57" s="309">
        <v>1</v>
      </c>
      <c r="V57" s="309">
        <v>1</v>
      </c>
      <c r="W57" s="309">
        <v>1</v>
      </c>
      <c r="X57" s="309">
        <v>1</v>
      </c>
      <c r="Y57" s="310"/>
      <c r="Z57" s="5">
        <f t="shared" si="2"/>
        <v>17</v>
      </c>
      <c r="AA57" s="5">
        <f t="shared" si="1"/>
        <v>544</v>
      </c>
    </row>
    <row r="58" spans="1:27" ht="15.75" customHeight="1">
      <c r="A58" s="1">
        <v>50</v>
      </c>
      <c r="B58" s="109" t="s">
        <v>563</v>
      </c>
      <c r="C58" s="110" t="s">
        <v>96</v>
      </c>
      <c r="D58" s="76"/>
      <c r="E58" s="76"/>
      <c r="F58" s="197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8"/>
      <c r="Z58" s="5">
        <f t="shared" si="2"/>
        <v>0</v>
      </c>
      <c r="AA58" s="5">
        <f t="shared" si="1"/>
        <v>0</v>
      </c>
    </row>
    <row r="59" spans="1:27" ht="15.75" customHeight="1">
      <c r="A59" s="1">
        <v>51</v>
      </c>
      <c r="B59" s="49" t="s">
        <v>304</v>
      </c>
      <c r="C59" s="53" t="s">
        <v>114</v>
      </c>
      <c r="D59" s="76"/>
      <c r="E59" s="76"/>
      <c r="F59" s="197"/>
      <c r="G59" s="309">
        <v>1</v>
      </c>
      <c r="H59" s="309">
        <v>1</v>
      </c>
      <c r="I59" s="258"/>
      <c r="J59" s="309">
        <v>1</v>
      </c>
      <c r="K59" s="309">
        <v>1</v>
      </c>
      <c r="L59" s="309">
        <v>1</v>
      </c>
      <c r="M59" s="309">
        <v>1</v>
      </c>
      <c r="N59" s="309">
        <v>1</v>
      </c>
      <c r="O59" s="309">
        <v>1</v>
      </c>
      <c r="P59" s="309">
        <v>1</v>
      </c>
      <c r="Q59" s="309">
        <v>1</v>
      </c>
      <c r="R59" s="309">
        <v>1</v>
      </c>
      <c r="S59" s="309">
        <v>1</v>
      </c>
      <c r="T59" s="309">
        <v>1</v>
      </c>
      <c r="U59" s="309">
        <v>1</v>
      </c>
      <c r="V59" s="309">
        <v>1</v>
      </c>
      <c r="W59" s="309">
        <v>1</v>
      </c>
      <c r="X59" s="309">
        <v>1</v>
      </c>
      <c r="Y59" s="309"/>
      <c r="Z59" s="5">
        <f t="shared" si="2"/>
        <v>17</v>
      </c>
      <c r="AA59" s="5">
        <f t="shared" si="1"/>
        <v>544</v>
      </c>
    </row>
    <row r="60" spans="1:27" ht="15.75" customHeight="1">
      <c r="A60" s="1">
        <v>52</v>
      </c>
      <c r="B60" s="49" t="s">
        <v>613</v>
      </c>
      <c r="C60" s="53" t="s">
        <v>96</v>
      </c>
      <c r="D60" s="76"/>
      <c r="E60" s="76"/>
      <c r="F60" s="197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5">
        <f t="shared" si="2"/>
        <v>0</v>
      </c>
      <c r="AA60" s="5">
        <f t="shared" si="1"/>
        <v>0</v>
      </c>
    </row>
    <row r="61" spans="1:27" ht="15.75" customHeight="1">
      <c r="A61" s="1">
        <v>53</v>
      </c>
      <c r="B61" s="49" t="s">
        <v>278</v>
      </c>
      <c r="C61" s="53" t="s">
        <v>114</v>
      </c>
      <c r="D61" s="68"/>
      <c r="E61" s="68"/>
      <c r="F61" s="196"/>
      <c r="G61" s="258"/>
      <c r="H61" s="258"/>
      <c r="I61" s="258"/>
      <c r="J61" s="258"/>
      <c r="K61" s="309">
        <v>1</v>
      </c>
      <c r="L61" s="365">
        <v>0</v>
      </c>
      <c r="M61" s="309">
        <v>1</v>
      </c>
      <c r="N61" s="258"/>
      <c r="O61" s="258"/>
      <c r="P61" s="258"/>
      <c r="Q61" s="258"/>
      <c r="R61" s="258"/>
      <c r="S61" s="258"/>
      <c r="T61" s="309">
        <v>1</v>
      </c>
      <c r="U61" s="258"/>
      <c r="V61" s="258"/>
      <c r="W61" s="258"/>
      <c r="X61" s="310">
        <v>1</v>
      </c>
      <c r="Y61" s="258"/>
      <c r="Z61" s="5">
        <f t="shared" si="2"/>
        <v>4</v>
      </c>
      <c r="AA61" s="5">
        <f t="shared" si="1"/>
        <v>128</v>
      </c>
    </row>
    <row r="62" spans="1:27" ht="15.75" customHeight="1">
      <c r="A62" s="1">
        <v>54</v>
      </c>
      <c r="B62" s="49" t="s">
        <v>612</v>
      </c>
      <c r="C62" s="53" t="s">
        <v>487</v>
      </c>
      <c r="D62" s="68"/>
      <c r="E62" s="68"/>
      <c r="F62" s="196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Y62" s="258"/>
      <c r="Z62" s="5">
        <f t="shared" si="2"/>
        <v>0</v>
      </c>
      <c r="AA62" s="5">
        <f t="shared" si="1"/>
        <v>0</v>
      </c>
    </row>
    <row r="63" spans="1:27" ht="15.75" customHeight="1">
      <c r="A63" s="1">
        <v>55</v>
      </c>
      <c r="B63" s="49" t="s">
        <v>667</v>
      </c>
      <c r="C63" s="53" t="s">
        <v>117</v>
      </c>
      <c r="D63" s="68"/>
      <c r="E63" s="68"/>
      <c r="F63" s="196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310">
        <v>1</v>
      </c>
      <c r="X63" s="258"/>
      <c r="Y63" s="258"/>
      <c r="Z63" s="5">
        <f t="shared" si="2"/>
        <v>1</v>
      </c>
      <c r="AA63" s="5">
        <f t="shared" si="1"/>
        <v>32</v>
      </c>
    </row>
    <row r="64" spans="1:27" ht="15.75" customHeight="1">
      <c r="A64" s="1">
        <v>56</v>
      </c>
      <c r="B64" s="49" t="s">
        <v>680</v>
      </c>
      <c r="C64" s="53" t="s">
        <v>96</v>
      </c>
      <c r="D64" s="68"/>
      <c r="E64" s="68"/>
      <c r="F64" s="196"/>
      <c r="G64" s="258"/>
      <c r="H64" s="258"/>
      <c r="I64" s="258"/>
      <c r="J64" s="258"/>
      <c r="K64" s="309">
        <v>1</v>
      </c>
      <c r="L64" s="258"/>
      <c r="M64" s="258"/>
      <c r="N64" s="258"/>
      <c r="O64" s="309">
        <v>1</v>
      </c>
      <c r="P64" s="258"/>
      <c r="Q64" s="258"/>
      <c r="R64" s="258"/>
      <c r="S64" s="258"/>
      <c r="T64" s="258"/>
      <c r="U64" s="258"/>
      <c r="V64" s="258"/>
      <c r="W64" s="258"/>
      <c r="X64" s="258"/>
      <c r="Y64" s="258"/>
      <c r="Z64" s="5">
        <f t="shared" si="2"/>
        <v>2</v>
      </c>
      <c r="AA64" s="5">
        <f t="shared" si="1"/>
        <v>64</v>
      </c>
    </row>
    <row r="65" spans="1:27" ht="15.75" customHeight="1">
      <c r="A65" s="1">
        <v>57</v>
      </c>
      <c r="B65" s="49" t="s">
        <v>719</v>
      </c>
      <c r="C65" s="53" t="s">
        <v>123</v>
      </c>
      <c r="D65" s="68"/>
      <c r="E65" s="68"/>
      <c r="F65" s="196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  <c r="U65" s="258"/>
      <c r="V65" s="258"/>
      <c r="W65" s="258"/>
      <c r="X65" s="258"/>
      <c r="Y65" s="258"/>
      <c r="Z65" s="5">
        <f t="shared" si="2"/>
        <v>0</v>
      </c>
      <c r="AA65" s="5">
        <f t="shared" si="1"/>
        <v>0</v>
      </c>
    </row>
    <row r="66" spans="1:27" ht="15.75" customHeight="1">
      <c r="A66" s="1">
        <v>58</v>
      </c>
      <c r="B66" s="49" t="s">
        <v>77</v>
      </c>
      <c r="C66" s="9" t="s">
        <v>117</v>
      </c>
      <c r="D66" s="68"/>
      <c r="E66" s="68"/>
      <c r="F66" s="196"/>
      <c r="G66" s="357">
        <v>0</v>
      </c>
      <c r="H66" s="357">
        <v>0</v>
      </c>
      <c r="I66" s="344"/>
      <c r="J66" s="357">
        <v>0</v>
      </c>
      <c r="K66" s="365">
        <v>0</v>
      </c>
      <c r="L66" s="365">
        <v>0</v>
      </c>
      <c r="M66" s="365">
        <v>0</v>
      </c>
      <c r="N66" s="365">
        <v>0</v>
      </c>
      <c r="O66" s="357">
        <v>0</v>
      </c>
      <c r="P66" s="357">
        <v>0</v>
      </c>
      <c r="Q66" s="357">
        <v>0</v>
      </c>
      <c r="R66" s="357">
        <v>0</v>
      </c>
      <c r="S66" s="357">
        <v>0</v>
      </c>
      <c r="T66" s="357">
        <v>0</v>
      </c>
      <c r="U66" s="357">
        <v>0</v>
      </c>
      <c r="V66" s="357">
        <v>0</v>
      </c>
      <c r="W66" s="357">
        <v>0</v>
      </c>
      <c r="X66" s="357">
        <v>0</v>
      </c>
      <c r="Y66" s="357"/>
      <c r="Z66" s="5">
        <f t="shared" si="2"/>
        <v>0</v>
      </c>
      <c r="AA66" s="5">
        <f t="shared" si="1"/>
        <v>0</v>
      </c>
    </row>
    <row r="67" spans="1:27" ht="15.75" customHeight="1">
      <c r="A67" s="1">
        <v>59</v>
      </c>
      <c r="B67" s="49" t="s">
        <v>463</v>
      </c>
      <c r="C67" s="9" t="s">
        <v>160</v>
      </c>
      <c r="D67" s="68"/>
      <c r="E67" s="68"/>
      <c r="F67" s="229"/>
      <c r="G67" s="309">
        <v>1</v>
      </c>
      <c r="H67" s="309">
        <v>1</v>
      </c>
      <c r="I67" s="344"/>
      <c r="J67" s="309">
        <v>1</v>
      </c>
      <c r="K67" s="309">
        <v>1</v>
      </c>
      <c r="L67" s="309">
        <v>1</v>
      </c>
      <c r="M67" s="309">
        <v>1</v>
      </c>
      <c r="N67" s="309">
        <v>0</v>
      </c>
      <c r="O67" s="309">
        <v>1</v>
      </c>
      <c r="P67" s="309">
        <v>1</v>
      </c>
      <c r="Q67" s="309">
        <v>1</v>
      </c>
      <c r="R67" s="309">
        <v>1</v>
      </c>
      <c r="S67" s="309">
        <v>1</v>
      </c>
      <c r="T67" s="309">
        <v>1</v>
      </c>
      <c r="U67" s="309">
        <v>1</v>
      </c>
      <c r="V67" s="309">
        <v>1</v>
      </c>
      <c r="W67" s="309">
        <v>1</v>
      </c>
      <c r="X67" s="309">
        <v>1</v>
      </c>
      <c r="Y67" s="309"/>
      <c r="Z67" s="5">
        <f t="shared" si="2"/>
        <v>16</v>
      </c>
      <c r="AA67" s="5">
        <f t="shared" si="1"/>
        <v>512</v>
      </c>
    </row>
    <row r="68" spans="1:27" ht="15.75" customHeight="1">
      <c r="A68" s="1">
        <v>60</v>
      </c>
      <c r="B68" s="49" t="s">
        <v>306</v>
      </c>
      <c r="C68" s="9" t="s">
        <v>96</v>
      </c>
      <c r="D68" s="68"/>
      <c r="E68" s="68"/>
      <c r="F68" s="196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  <c r="Z68" s="5">
        <f t="shared" si="2"/>
        <v>0</v>
      </c>
      <c r="AA68" s="5">
        <f t="shared" si="1"/>
        <v>0</v>
      </c>
    </row>
    <row r="69" spans="1:27" ht="15.75" customHeight="1">
      <c r="A69" s="1">
        <v>61</v>
      </c>
      <c r="B69" s="49" t="s">
        <v>308</v>
      </c>
      <c r="C69" s="9" t="s">
        <v>117</v>
      </c>
      <c r="D69" s="68"/>
      <c r="E69" s="68"/>
      <c r="F69" s="196"/>
      <c r="G69" s="309">
        <v>0</v>
      </c>
      <c r="H69" s="309">
        <v>1</v>
      </c>
      <c r="I69" s="258"/>
      <c r="J69" s="258"/>
      <c r="K69" s="258"/>
      <c r="L69" s="258"/>
      <c r="M69" s="258"/>
      <c r="N69" s="258"/>
      <c r="O69" s="309">
        <v>1</v>
      </c>
      <c r="P69" s="309">
        <v>1</v>
      </c>
      <c r="Q69" s="309">
        <v>1</v>
      </c>
      <c r="R69" s="309">
        <v>1</v>
      </c>
      <c r="S69" s="309">
        <v>0</v>
      </c>
      <c r="T69" s="309">
        <v>1</v>
      </c>
      <c r="U69" s="309">
        <v>1</v>
      </c>
      <c r="V69" s="309">
        <v>1</v>
      </c>
      <c r="W69" s="309">
        <v>1</v>
      </c>
      <c r="X69" s="309">
        <v>1</v>
      </c>
      <c r="Y69" s="310"/>
      <c r="Z69" s="5">
        <f t="shared" si="2"/>
        <v>10</v>
      </c>
      <c r="AA69" s="5">
        <f t="shared" si="1"/>
        <v>320</v>
      </c>
    </row>
    <row r="70" spans="1:27" ht="15.75" customHeight="1">
      <c r="A70" s="1">
        <v>62</v>
      </c>
      <c r="B70" s="49" t="s">
        <v>309</v>
      </c>
      <c r="C70" s="9" t="s">
        <v>114</v>
      </c>
      <c r="D70" s="68"/>
      <c r="E70" s="68"/>
      <c r="F70" s="196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/>
      <c r="X70" s="258"/>
      <c r="Y70" s="258"/>
      <c r="Z70" s="5">
        <f t="shared" si="2"/>
        <v>0</v>
      </c>
      <c r="AA70" s="5">
        <f t="shared" si="1"/>
        <v>0</v>
      </c>
    </row>
    <row r="71" spans="1:27" ht="15.75" customHeight="1">
      <c r="A71" s="1">
        <v>63</v>
      </c>
      <c r="B71" s="49" t="s">
        <v>206</v>
      </c>
      <c r="C71" s="9" t="s">
        <v>118</v>
      </c>
      <c r="D71" s="68"/>
      <c r="E71" s="68"/>
      <c r="F71" s="229"/>
      <c r="G71" s="309">
        <v>1</v>
      </c>
      <c r="H71" s="309">
        <v>1</v>
      </c>
      <c r="I71" s="344"/>
      <c r="J71" s="309">
        <v>1</v>
      </c>
      <c r="K71" s="309">
        <v>1</v>
      </c>
      <c r="L71" s="309">
        <v>1</v>
      </c>
      <c r="M71" s="309">
        <v>1</v>
      </c>
      <c r="N71" s="309">
        <v>1</v>
      </c>
      <c r="O71" s="309">
        <v>1</v>
      </c>
      <c r="P71" s="309">
        <v>1</v>
      </c>
      <c r="Q71" s="309">
        <v>1</v>
      </c>
      <c r="R71" s="309">
        <v>1</v>
      </c>
      <c r="S71" s="309">
        <v>1</v>
      </c>
      <c r="T71" s="310">
        <v>1</v>
      </c>
      <c r="U71" s="310">
        <v>1</v>
      </c>
      <c r="V71" s="310">
        <v>1</v>
      </c>
      <c r="W71" s="310">
        <v>1</v>
      </c>
      <c r="X71" s="310">
        <v>1</v>
      </c>
      <c r="Y71" s="310"/>
      <c r="Z71" s="5">
        <f t="shared" si="2"/>
        <v>17</v>
      </c>
      <c r="AA71" s="5">
        <f t="shared" si="1"/>
        <v>544</v>
      </c>
    </row>
    <row r="72" spans="1:27" ht="15.75" customHeight="1">
      <c r="A72" s="1">
        <v>64</v>
      </c>
      <c r="B72" s="6" t="s">
        <v>52</v>
      </c>
      <c r="C72" s="10" t="s">
        <v>117</v>
      </c>
      <c r="D72" s="68"/>
      <c r="E72" s="68"/>
      <c r="F72" s="196"/>
      <c r="G72" s="309">
        <v>1</v>
      </c>
      <c r="H72" s="309">
        <v>1</v>
      </c>
      <c r="I72" s="344"/>
      <c r="J72" s="309">
        <v>1</v>
      </c>
      <c r="K72" s="309">
        <v>1</v>
      </c>
      <c r="L72" s="309">
        <v>1</v>
      </c>
      <c r="M72" s="309">
        <v>1</v>
      </c>
      <c r="N72" s="309">
        <v>1</v>
      </c>
      <c r="O72" s="309">
        <v>1</v>
      </c>
      <c r="P72" s="309">
        <v>1</v>
      </c>
      <c r="Q72" s="309">
        <v>1</v>
      </c>
      <c r="R72" s="309">
        <v>1</v>
      </c>
      <c r="S72" s="309">
        <v>1</v>
      </c>
      <c r="T72" s="309">
        <v>1</v>
      </c>
      <c r="U72" s="309">
        <v>1</v>
      </c>
      <c r="V72" s="309">
        <v>1</v>
      </c>
      <c r="W72" s="309">
        <v>1</v>
      </c>
      <c r="X72" s="309">
        <v>1</v>
      </c>
      <c r="Y72" s="309"/>
      <c r="Z72" s="5">
        <f t="shared" si="2"/>
        <v>17</v>
      </c>
      <c r="AA72" s="5">
        <f t="shared" si="1"/>
        <v>544</v>
      </c>
    </row>
    <row r="73" spans="1:27" ht="15.75" customHeight="1">
      <c r="A73" s="1">
        <v>65</v>
      </c>
      <c r="B73" s="6" t="s">
        <v>565</v>
      </c>
      <c r="C73" s="10" t="s">
        <v>160</v>
      </c>
      <c r="D73" s="68"/>
      <c r="E73" s="68"/>
      <c r="F73" s="202" t="s">
        <v>654</v>
      </c>
      <c r="G73" s="258"/>
      <c r="H73" s="10"/>
      <c r="I73" s="258"/>
      <c r="J73" s="258"/>
      <c r="K73" s="309">
        <v>1</v>
      </c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5">
        <f t="shared" si="2"/>
        <v>1</v>
      </c>
      <c r="AA73" s="5">
        <f t="shared" si="1"/>
        <v>32</v>
      </c>
    </row>
    <row r="74" spans="1:27" ht="15.75" customHeight="1">
      <c r="A74" s="1">
        <v>66</v>
      </c>
      <c r="B74" s="6" t="s">
        <v>587</v>
      </c>
      <c r="C74" s="10" t="s">
        <v>118</v>
      </c>
      <c r="D74" s="68"/>
      <c r="E74" s="68"/>
      <c r="F74" s="254" t="s">
        <v>761</v>
      </c>
      <c r="G74" s="309">
        <v>1</v>
      </c>
      <c r="H74" s="309">
        <v>1</v>
      </c>
      <c r="I74" s="309"/>
      <c r="J74" s="309">
        <v>1</v>
      </c>
      <c r="K74" s="309">
        <v>1</v>
      </c>
      <c r="L74" s="309">
        <v>1</v>
      </c>
      <c r="M74" s="309">
        <v>1</v>
      </c>
      <c r="N74" s="309">
        <v>1</v>
      </c>
      <c r="O74" s="309">
        <v>1</v>
      </c>
      <c r="P74" s="309">
        <v>1</v>
      </c>
      <c r="Q74" s="309">
        <v>1</v>
      </c>
      <c r="R74" s="309">
        <v>1</v>
      </c>
      <c r="S74" s="309">
        <v>1</v>
      </c>
      <c r="T74" s="309">
        <v>1</v>
      </c>
      <c r="U74" s="309">
        <v>1</v>
      </c>
      <c r="V74" s="309">
        <v>1</v>
      </c>
      <c r="W74" s="309">
        <v>1</v>
      </c>
      <c r="X74" s="309">
        <v>1</v>
      </c>
      <c r="Y74" s="309"/>
      <c r="Z74" s="5">
        <f t="shared" si="2"/>
        <v>17</v>
      </c>
      <c r="AA74" s="5">
        <f t="shared" si="1"/>
        <v>544</v>
      </c>
    </row>
    <row r="75" spans="1:27" ht="15.75" customHeight="1">
      <c r="A75" s="1">
        <v>67</v>
      </c>
      <c r="B75" s="6" t="s">
        <v>551</v>
      </c>
      <c r="C75" s="9" t="s">
        <v>160</v>
      </c>
      <c r="D75" s="68"/>
      <c r="E75" s="68"/>
      <c r="F75" s="196"/>
      <c r="G75" s="309">
        <v>1</v>
      </c>
      <c r="H75" s="309">
        <v>1</v>
      </c>
      <c r="I75" s="344"/>
      <c r="J75" s="309">
        <v>1</v>
      </c>
      <c r="K75" s="309">
        <v>1</v>
      </c>
      <c r="L75" s="309">
        <v>1</v>
      </c>
      <c r="M75" s="309">
        <v>1</v>
      </c>
      <c r="N75" s="309">
        <v>1</v>
      </c>
      <c r="O75" s="309">
        <v>1</v>
      </c>
      <c r="P75" s="309">
        <v>1</v>
      </c>
      <c r="Q75" s="309">
        <v>1</v>
      </c>
      <c r="R75" s="309">
        <v>1</v>
      </c>
      <c r="S75" s="309">
        <v>1</v>
      </c>
      <c r="T75" s="309">
        <v>1</v>
      </c>
      <c r="U75" s="309">
        <v>1</v>
      </c>
      <c r="V75" s="309">
        <v>1</v>
      </c>
      <c r="W75" s="309">
        <v>1</v>
      </c>
      <c r="X75" s="309">
        <v>1</v>
      </c>
      <c r="Y75" s="309"/>
      <c r="Z75" s="5">
        <f t="shared" ref="Z75:Z94" si="3">+SUM(G75:Y75)</f>
        <v>17</v>
      </c>
      <c r="AA75" s="5">
        <f t="shared" si="1"/>
        <v>544</v>
      </c>
    </row>
    <row r="76" spans="1:27" ht="15.75" customHeight="1">
      <c r="A76" s="1">
        <v>68</v>
      </c>
      <c r="B76" s="6" t="s">
        <v>650</v>
      </c>
      <c r="C76" s="9" t="s">
        <v>117</v>
      </c>
      <c r="D76" s="68"/>
      <c r="E76" s="68"/>
      <c r="F76" s="196"/>
      <c r="G76" s="258"/>
      <c r="H76" s="258"/>
      <c r="I76" s="258"/>
      <c r="J76" s="258"/>
      <c r="K76" s="344"/>
      <c r="L76" s="365">
        <v>1</v>
      </c>
      <c r="M76" s="258"/>
      <c r="N76" s="258"/>
      <c r="O76" s="258"/>
      <c r="P76" s="365">
        <v>1</v>
      </c>
      <c r="Q76" s="365">
        <v>1</v>
      </c>
      <c r="R76" s="365">
        <v>1</v>
      </c>
      <c r="S76" s="365">
        <v>1</v>
      </c>
      <c r="T76" s="258"/>
      <c r="U76" s="310">
        <v>1</v>
      </c>
      <c r="V76" s="258"/>
      <c r="W76" s="310">
        <v>1</v>
      </c>
      <c r="X76" s="310">
        <v>1</v>
      </c>
      <c r="Y76" s="258"/>
      <c r="Z76" s="5">
        <f t="shared" si="3"/>
        <v>8</v>
      </c>
      <c r="AA76" s="5">
        <f t="shared" ref="AA76:AA94" si="4">+Z76*32</f>
        <v>256</v>
      </c>
    </row>
    <row r="77" spans="1:27" ht="15.75" customHeight="1">
      <c r="A77" s="1">
        <v>69</v>
      </c>
      <c r="B77" s="6" t="s">
        <v>469</v>
      </c>
      <c r="C77" s="9" t="s">
        <v>123</v>
      </c>
      <c r="D77" s="68"/>
      <c r="E77" s="68"/>
      <c r="F77" s="196"/>
      <c r="G77" s="309">
        <v>1</v>
      </c>
      <c r="H77" s="309">
        <v>1</v>
      </c>
      <c r="I77" s="344"/>
      <c r="J77" s="309">
        <v>1</v>
      </c>
      <c r="K77" s="309">
        <v>1</v>
      </c>
      <c r="L77" s="309">
        <v>1</v>
      </c>
      <c r="M77" s="309">
        <v>1</v>
      </c>
      <c r="N77" s="309">
        <v>1</v>
      </c>
      <c r="O77" s="309">
        <v>1</v>
      </c>
      <c r="P77" s="309">
        <v>1</v>
      </c>
      <c r="Q77" s="309">
        <v>1</v>
      </c>
      <c r="R77" s="309">
        <v>1</v>
      </c>
      <c r="S77" s="309">
        <v>1</v>
      </c>
      <c r="T77" s="309">
        <v>1</v>
      </c>
      <c r="U77" s="309">
        <v>1</v>
      </c>
      <c r="V77" s="309">
        <v>1</v>
      </c>
      <c r="W77" s="309">
        <v>1</v>
      </c>
      <c r="X77" s="309">
        <v>1</v>
      </c>
      <c r="Y77" s="309"/>
      <c r="Z77" s="5">
        <f t="shared" si="3"/>
        <v>17</v>
      </c>
      <c r="AA77" s="5">
        <f t="shared" si="4"/>
        <v>544</v>
      </c>
    </row>
    <row r="78" spans="1:27" ht="15.75" customHeight="1">
      <c r="A78" s="1">
        <v>70</v>
      </c>
      <c r="B78" s="6" t="s">
        <v>282</v>
      </c>
      <c r="C78" s="9" t="s">
        <v>114</v>
      </c>
      <c r="D78" s="67" t="s">
        <v>479</v>
      </c>
      <c r="E78" s="68"/>
      <c r="F78" s="196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  <c r="U78" s="258"/>
      <c r="V78" s="258"/>
      <c r="W78" s="258"/>
      <c r="X78" s="258"/>
      <c r="Y78" s="258"/>
      <c r="Z78" s="5">
        <f t="shared" si="3"/>
        <v>0</v>
      </c>
      <c r="AA78" s="5">
        <f t="shared" si="4"/>
        <v>0</v>
      </c>
    </row>
    <row r="79" spans="1:27" ht="15.75" customHeight="1">
      <c r="A79" s="1">
        <v>71</v>
      </c>
      <c r="B79" s="6" t="s">
        <v>695</v>
      </c>
      <c r="C79" s="9" t="s">
        <v>96</v>
      </c>
      <c r="D79" s="67"/>
      <c r="E79" s="68"/>
      <c r="F79" s="196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5">
        <f t="shared" si="3"/>
        <v>0</v>
      </c>
      <c r="AA79" s="5">
        <f t="shared" si="4"/>
        <v>0</v>
      </c>
    </row>
    <row r="80" spans="1:27" ht="15.75" customHeight="1">
      <c r="A80" s="1">
        <v>72</v>
      </c>
      <c r="B80" s="49" t="s">
        <v>99</v>
      </c>
      <c r="C80" s="9" t="s">
        <v>114</v>
      </c>
      <c r="D80" s="68"/>
      <c r="E80" s="68"/>
      <c r="F80" s="207" t="s">
        <v>461</v>
      </c>
      <c r="G80" s="309">
        <v>1</v>
      </c>
      <c r="H80" s="309">
        <v>1</v>
      </c>
      <c r="I80" s="344"/>
      <c r="J80" s="309">
        <v>1</v>
      </c>
      <c r="K80" s="309">
        <v>1</v>
      </c>
      <c r="L80" s="309">
        <v>1</v>
      </c>
      <c r="M80" s="309">
        <v>1</v>
      </c>
      <c r="N80" s="309">
        <v>1</v>
      </c>
      <c r="O80" s="309">
        <v>1</v>
      </c>
      <c r="P80" s="309">
        <v>1</v>
      </c>
      <c r="Q80" s="309">
        <v>1</v>
      </c>
      <c r="R80" s="309">
        <v>1</v>
      </c>
      <c r="S80" s="309">
        <v>1</v>
      </c>
      <c r="T80" s="309">
        <v>1</v>
      </c>
      <c r="U80" s="309">
        <v>1</v>
      </c>
      <c r="V80" s="309">
        <v>1</v>
      </c>
      <c r="W80" s="309">
        <v>1</v>
      </c>
      <c r="X80" s="309">
        <v>1</v>
      </c>
      <c r="Y80" s="309"/>
      <c r="Z80" s="5">
        <f t="shared" si="3"/>
        <v>17</v>
      </c>
      <c r="AA80" s="5">
        <f t="shared" si="4"/>
        <v>544</v>
      </c>
    </row>
    <row r="81" spans="1:27" ht="15.75" customHeight="1">
      <c r="A81" s="1">
        <v>73</v>
      </c>
      <c r="B81" s="49" t="s">
        <v>675</v>
      </c>
      <c r="C81" s="9" t="s">
        <v>160</v>
      </c>
      <c r="D81" s="68"/>
      <c r="E81" s="68"/>
      <c r="F81" s="202" t="s">
        <v>726</v>
      </c>
      <c r="G81" s="258"/>
      <c r="H81" s="344"/>
      <c r="I81" s="344"/>
      <c r="J81" s="309">
        <v>1</v>
      </c>
      <c r="K81" s="309">
        <v>1</v>
      </c>
      <c r="L81" s="309">
        <v>1</v>
      </c>
      <c r="M81" s="309">
        <v>1</v>
      </c>
      <c r="N81" s="309">
        <v>1</v>
      </c>
      <c r="O81" s="309">
        <v>1</v>
      </c>
      <c r="P81" s="309">
        <v>1</v>
      </c>
      <c r="Q81" s="309">
        <v>0</v>
      </c>
      <c r="R81" s="309">
        <v>1</v>
      </c>
      <c r="S81" s="309">
        <v>1</v>
      </c>
      <c r="T81" s="309">
        <v>1</v>
      </c>
      <c r="U81" s="309">
        <v>1</v>
      </c>
      <c r="V81" s="309">
        <v>1</v>
      </c>
      <c r="W81" s="309">
        <v>1</v>
      </c>
      <c r="X81" s="309">
        <v>1</v>
      </c>
      <c r="Y81" s="344"/>
      <c r="Z81" s="5">
        <f t="shared" si="3"/>
        <v>14</v>
      </c>
      <c r="AA81" s="5">
        <f t="shared" si="4"/>
        <v>448</v>
      </c>
    </row>
    <row r="82" spans="1:27" ht="15.75" customHeight="1">
      <c r="A82" s="1">
        <v>74</v>
      </c>
      <c r="B82" s="49" t="s">
        <v>608</v>
      </c>
      <c r="C82" s="9" t="s">
        <v>160</v>
      </c>
      <c r="D82" s="68"/>
      <c r="E82" s="68"/>
      <c r="F82" s="203"/>
      <c r="G82" s="258"/>
      <c r="H82" s="258"/>
      <c r="I82" s="258"/>
      <c r="J82" s="258"/>
      <c r="K82" s="258"/>
      <c r="L82" s="258"/>
      <c r="M82" s="258"/>
      <c r="N82" s="258"/>
      <c r="O82" s="258"/>
      <c r="P82" s="309">
        <v>1</v>
      </c>
      <c r="Q82" s="258"/>
      <c r="R82" s="258"/>
      <c r="S82" s="309">
        <v>1</v>
      </c>
      <c r="T82" s="258"/>
      <c r="U82" s="258"/>
      <c r="V82" s="258"/>
      <c r="W82" s="258"/>
      <c r="X82" s="258"/>
      <c r="Y82" s="258"/>
      <c r="Z82" s="5">
        <f t="shared" si="3"/>
        <v>2</v>
      </c>
      <c r="AA82" s="5">
        <f t="shared" si="4"/>
        <v>64</v>
      </c>
    </row>
    <row r="83" spans="1:27" ht="15.75" customHeight="1">
      <c r="A83" s="1">
        <v>75</v>
      </c>
      <c r="B83" s="49" t="s">
        <v>311</v>
      </c>
      <c r="C83" s="9" t="s">
        <v>114</v>
      </c>
      <c r="D83" s="68"/>
      <c r="E83" s="68"/>
      <c r="F83" s="241" t="s">
        <v>779</v>
      </c>
      <c r="G83" s="310">
        <v>1</v>
      </c>
      <c r="H83" s="310">
        <v>1</v>
      </c>
      <c r="I83" s="344"/>
      <c r="J83" s="310">
        <v>1</v>
      </c>
      <c r="K83" s="310">
        <v>1</v>
      </c>
      <c r="L83" s="365">
        <v>1</v>
      </c>
      <c r="M83" s="365">
        <v>1</v>
      </c>
      <c r="N83" s="365">
        <v>1</v>
      </c>
      <c r="O83" s="310">
        <v>1</v>
      </c>
      <c r="P83" s="310">
        <v>1</v>
      </c>
      <c r="Q83" s="310">
        <v>0</v>
      </c>
      <c r="R83" s="310">
        <v>1</v>
      </c>
      <c r="S83" s="310">
        <v>1</v>
      </c>
      <c r="T83" s="310">
        <v>1</v>
      </c>
      <c r="U83" s="310">
        <v>1</v>
      </c>
      <c r="V83" s="310">
        <v>1</v>
      </c>
      <c r="W83" s="310">
        <v>1</v>
      </c>
      <c r="X83" s="310">
        <v>1</v>
      </c>
      <c r="Y83" s="310"/>
      <c r="Z83" s="5">
        <f t="shared" si="3"/>
        <v>16</v>
      </c>
      <c r="AA83" s="5">
        <f t="shared" si="4"/>
        <v>512</v>
      </c>
    </row>
    <row r="84" spans="1:27" ht="15.75" customHeight="1">
      <c r="A84" s="1">
        <v>76</v>
      </c>
      <c r="B84" s="49" t="s">
        <v>312</v>
      </c>
      <c r="C84" s="9" t="s">
        <v>123</v>
      </c>
      <c r="D84" s="68"/>
      <c r="E84" s="68"/>
      <c r="F84" s="196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5">
        <f t="shared" si="3"/>
        <v>0</v>
      </c>
      <c r="AA84" s="5">
        <f t="shared" si="4"/>
        <v>0</v>
      </c>
    </row>
    <row r="85" spans="1:27" ht="15.75" customHeight="1">
      <c r="A85" s="1">
        <v>77</v>
      </c>
      <c r="B85" s="49" t="s">
        <v>475</v>
      </c>
      <c r="C85" s="9" t="s">
        <v>160</v>
      </c>
      <c r="D85" s="68"/>
      <c r="E85" s="68"/>
      <c r="F85" s="196"/>
      <c r="G85" s="309">
        <v>1</v>
      </c>
      <c r="H85" s="309">
        <v>1</v>
      </c>
      <c r="I85" s="309"/>
      <c r="J85" s="309">
        <v>1</v>
      </c>
      <c r="K85" s="309">
        <v>1</v>
      </c>
      <c r="L85" s="309">
        <v>1</v>
      </c>
      <c r="M85" s="309">
        <v>1</v>
      </c>
      <c r="N85" s="309">
        <v>1</v>
      </c>
      <c r="O85" s="309">
        <v>1</v>
      </c>
      <c r="P85" s="309">
        <v>1</v>
      </c>
      <c r="Q85" s="309">
        <v>1</v>
      </c>
      <c r="R85" s="309">
        <v>1</v>
      </c>
      <c r="S85" s="309">
        <v>1</v>
      </c>
      <c r="T85" s="309">
        <v>1</v>
      </c>
      <c r="U85" s="309">
        <v>1</v>
      </c>
      <c r="V85" s="309">
        <v>1</v>
      </c>
      <c r="W85" s="309">
        <v>1</v>
      </c>
      <c r="X85" s="309">
        <v>1</v>
      </c>
      <c r="Y85" s="309"/>
      <c r="Z85" s="5">
        <f t="shared" si="3"/>
        <v>17</v>
      </c>
      <c r="AA85" s="5">
        <f t="shared" si="4"/>
        <v>544</v>
      </c>
    </row>
    <row r="86" spans="1:27" ht="15.75" customHeight="1">
      <c r="A86" s="1">
        <v>78</v>
      </c>
      <c r="B86" s="6" t="s">
        <v>61</v>
      </c>
      <c r="C86" s="10" t="s">
        <v>114</v>
      </c>
      <c r="D86" s="76"/>
      <c r="E86" s="76"/>
      <c r="F86" s="202" t="s">
        <v>644</v>
      </c>
      <c r="G86" s="309">
        <v>1</v>
      </c>
      <c r="H86" s="309">
        <v>1</v>
      </c>
      <c r="I86" s="309"/>
      <c r="J86" s="309">
        <v>1</v>
      </c>
      <c r="K86" s="309">
        <v>1</v>
      </c>
      <c r="L86" s="309">
        <v>1</v>
      </c>
      <c r="M86" s="309">
        <v>1</v>
      </c>
      <c r="N86" s="309">
        <v>1</v>
      </c>
      <c r="O86" s="309">
        <v>1</v>
      </c>
      <c r="P86" s="309">
        <v>1</v>
      </c>
      <c r="Q86" s="309">
        <v>1</v>
      </c>
      <c r="R86" s="309">
        <v>1</v>
      </c>
      <c r="S86" s="309">
        <v>1</v>
      </c>
      <c r="T86" s="309">
        <v>1</v>
      </c>
      <c r="U86" s="309">
        <v>1</v>
      </c>
      <c r="V86" s="309">
        <v>1</v>
      </c>
      <c r="W86" s="309">
        <v>1</v>
      </c>
      <c r="X86" s="309">
        <v>1</v>
      </c>
      <c r="Y86" s="309"/>
      <c r="Z86" s="5">
        <f t="shared" si="3"/>
        <v>17</v>
      </c>
      <c r="AA86" s="5">
        <f t="shared" si="4"/>
        <v>544</v>
      </c>
    </row>
    <row r="87" spans="1:27" ht="15.75" customHeight="1">
      <c r="A87" s="1">
        <v>79</v>
      </c>
      <c r="B87" s="6" t="s">
        <v>313</v>
      </c>
      <c r="C87" s="10" t="s">
        <v>114</v>
      </c>
      <c r="D87" s="76"/>
      <c r="E87" s="76"/>
      <c r="F87" s="204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  <c r="U87" s="258"/>
      <c r="V87" s="258"/>
      <c r="W87" s="258"/>
      <c r="X87" s="258"/>
      <c r="Y87" s="258"/>
      <c r="Z87" s="5">
        <f t="shared" si="3"/>
        <v>0</v>
      </c>
      <c r="AA87" s="5">
        <f t="shared" si="4"/>
        <v>0</v>
      </c>
    </row>
    <row r="88" spans="1:27" ht="15.75" customHeight="1">
      <c r="A88" s="1">
        <v>80</v>
      </c>
      <c r="B88" s="49" t="s">
        <v>314</v>
      </c>
      <c r="C88" s="57" t="s">
        <v>96</v>
      </c>
      <c r="D88" s="76"/>
      <c r="E88" s="76"/>
      <c r="F88" s="204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  <c r="U88" s="258"/>
      <c r="V88" s="258"/>
      <c r="W88" s="258"/>
      <c r="X88" s="258"/>
      <c r="Y88" s="258"/>
      <c r="Z88" s="5">
        <f t="shared" si="3"/>
        <v>0</v>
      </c>
      <c r="AA88" s="5">
        <f t="shared" si="4"/>
        <v>0</v>
      </c>
    </row>
    <row r="89" spans="1:27" ht="15.75" customHeight="1">
      <c r="A89" s="1">
        <v>81</v>
      </c>
      <c r="B89" s="49" t="s">
        <v>604</v>
      </c>
      <c r="C89" s="57" t="s">
        <v>118</v>
      </c>
      <c r="D89" s="76"/>
      <c r="E89" s="76"/>
      <c r="F89" s="204"/>
      <c r="G89" s="309">
        <v>1</v>
      </c>
      <c r="H89" s="309">
        <v>1</v>
      </c>
      <c r="I89" s="309">
        <v>0</v>
      </c>
      <c r="J89" s="358">
        <v>1</v>
      </c>
      <c r="K89" s="309">
        <v>1</v>
      </c>
      <c r="L89" s="309">
        <v>1</v>
      </c>
      <c r="M89" s="309">
        <v>1</v>
      </c>
      <c r="N89" s="309">
        <v>1</v>
      </c>
      <c r="O89" s="310">
        <v>1</v>
      </c>
      <c r="P89" s="310">
        <v>1</v>
      </c>
      <c r="Q89" s="310">
        <v>1</v>
      </c>
      <c r="R89" s="310">
        <v>1</v>
      </c>
      <c r="S89" s="310">
        <v>1</v>
      </c>
      <c r="T89" s="310">
        <v>1</v>
      </c>
      <c r="U89" s="310">
        <v>1</v>
      </c>
      <c r="V89" s="310">
        <v>1</v>
      </c>
      <c r="W89" s="310">
        <v>1</v>
      </c>
      <c r="X89" s="310">
        <v>1</v>
      </c>
      <c r="Y89" s="310"/>
      <c r="Z89" s="5">
        <f t="shared" si="3"/>
        <v>17</v>
      </c>
      <c r="AA89" s="5">
        <f t="shared" si="4"/>
        <v>544</v>
      </c>
    </row>
    <row r="90" spans="1:27" ht="15.75" customHeight="1">
      <c r="A90" s="1">
        <v>82</v>
      </c>
      <c r="B90" s="49" t="s">
        <v>657</v>
      </c>
      <c r="C90" s="57" t="s">
        <v>114</v>
      </c>
      <c r="D90" s="68"/>
      <c r="E90" s="68"/>
      <c r="F90" s="203"/>
      <c r="G90" s="309">
        <v>1</v>
      </c>
      <c r="H90" s="258"/>
      <c r="I90" s="258"/>
      <c r="J90" s="344"/>
      <c r="K90" s="258"/>
      <c r="L90" s="258"/>
      <c r="M90" s="258"/>
      <c r="N90" s="258"/>
      <c r="O90" s="258"/>
      <c r="P90" s="258"/>
      <c r="Q90" s="258"/>
      <c r="R90" s="258"/>
      <c r="S90" s="258"/>
      <c r="T90" s="309">
        <v>1</v>
      </c>
      <c r="U90" s="258"/>
      <c r="V90" s="258"/>
      <c r="W90" s="258"/>
      <c r="X90" s="258"/>
      <c r="Y90" s="258"/>
      <c r="Z90" s="5">
        <f t="shared" si="3"/>
        <v>2</v>
      </c>
      <c r="AA90" s="5">
        <f t="shared" si="4"/>
        <v>64</v>
      </c>
    </row>
    <row r="91" spans="1:27" ht="15.75" customHeight="1">
      <c r="A91" s="1">
        <v>83</v>
      </c>
      <c r="B91" s="49"/>
      <c r="C91" s="57"/>
      <c r="D91" s="76"/>
      <c r="E91" s="76"/>
      <c r="F91" s="1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  <c r="U91" s="258"/>
      <c r="V91" s="258"/>
      <c r="W91" s="258"/>
      <c r="X91" s="258"/>
      <c r="Y91" s="258"/>
      <c r="Z91" s="5">
        <f t="shared" si="3"/>
        <v>0</v>
      </c>
      <c r="AA91" s="5">
        <f t="shared" si="4"/>
        <v>0</v>
      </c>
    </row>
    <row r="92" spans="1:27" ht="15.75" customHeight="1">
      <c r="A92" s="1">
        <v>84</v>
      </c>
      <c r="B92" s="49"/>
      <c r="C92" s="57"/>
      <c r="D92" s="76"/>
      <c r="E92" s="76"/>
      <c r="F92" s="11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5">
        <f t="shared" si="3"/>
        <v>0</v>
      </c>
      <c r="AA92" s="5">
        <f t="shared" si="4"/>
        <v>0</v>
      </c>
    </row>
    <row r="93" spans="1:27" ht="15.75" customHeight="1">
      <c r="A93" s="1">
        <v>85</v>
      </c>
      <c r="B93" s="49"/>
      <c r="C93" s="57"/>
      <c r="D93" s="76"/>
      <c r="E93" s="76"/>
      <c r="F93" s="11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  <c r="U93" s="258"/>
      <c r="V93" s="258"/>
      <c r="W93" s="258"/>
      <c r="X93" s="258"/>
      <c r="Y93" s="258"/>
      <c r="Z93" s="5">
        <f t="shared" si="3"/>
        <v>0</v>
      </c>
      <c r="AA93" s="5">
        <f t="shared" si="4"/>
        <v>0</v>
      </c>
    </row>
    <row r="94" spans="1:27" ht="15.75" customHeight="1">
      <c r="A94" s="1">
        <v>86</v>
      </c>
      <c r="B94" s="49"/>
      <c r="C94" s="57"/>
      <c r="D94" s="76"/>
      <c r="E94" s="76"/>
      <c r="F94" s="11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  <c r="U94" s="258"/>
      <c r="V94" s="258"/>
      <c r="W94" s="258"/>
      <c r="X94" s="258"/>
      <c r="Y94" s="258"/>
      <c r="Z94" s="5">
        <f t="shared" si="3"/>
        <v>0</v>
      </c>
      <c r="AA94" s="5">
        <f t="shared" si="4"/>
        <v>0</v>
      </c>
    </row>
    <row r="95" spans="1:27" ht="15.75" customHeight="1" thickBot="1">
      <c r="A95" s="12"/>
      <c r="B95" s="12"/>
      <c r="C95" s="12"/>
      <c r="D95" s="12"/>
      <c r="E95" s="12"/>
      <c r="F95" s="13"/>
      <c r="G95" s="14">
        <f t="shared" ref="G95:Y95" si="5">SUM(G9:G94)</f>
        <v>35</v>
      </c>
      <c r="H95" s="14">
        <f t="shared" si="5"/>
        <v>34</v>
      </c>
      <c r="I95" s="14">
        <f t="shared" si="5"/>
        <v>0</v>
      </c>
      <c r="J95" s="14">
        <f t="shared" si="5"/>
        <v>35</v>
      </c>
      <c r="K95" s="14">
        <f t="shared" si="5"/>
        <v>35</v>
      </c>
      <c r="L95" s="14">
        <f t="shared" si="5"/>
        <v>33</v>
      </c>
      <c r="M95" s="14">
        <f t="shared" si="5"/>
        <v>34</v>
      </c>
      <c r="N95" s="14">
        <f t="shared" si="5"/>
        <v>32</v>
      </c>
      <c r="O95" s="14">
        <f t="shared" si="5"/>
        <v>41</v>
      </c>
      <c r="P95" s="14">
        <f t="shared" si="5"/>
        <v>35</v>
      </c>
      <c r="Q95" s="14">
        <f t="shared" si="5"/>
        <v>33</v>
      </c>
      <c r="R95" s="14">
        <f t="shared" si="5"/>
        <v>34</v>
      </c>
      <c r="S95" s="14">
        <f t="shared" si="5"/>
        <v>30</v>
      </c>
      <c r="T95" s="14">
        <f t="shared" si="5"/>
        <v>39</v>
      </c>
      <c r="U95" s="14">
        <f t="shared" si="5"/>
        <v>35</v>
      </c>
      <c r="V95" s="14">
        <f t="shared" si="5"/>
        <v>34</v>
      </c>
      <c r="W95" s="14">
        <f t="shared" si="5"/>
        <v>35</v>
      </c>
      <c r="X95" s="14">
        <f t="shared" si="5"/>
        <v>37</v>
      </c>
      <c r="Y95" s="14">
        <f t="shared" si="5"/>
        <v>0</v>
      </c>
      <c r="Z95" s="435"/>
      <c r="AA95" s="436"/>
    </row>
    <row r="96" spans="1:27" ht="15.75" customHeight="1" thickBot="1">
      <c r="D96" s="15"/>
      <c r="E96" s="15"/>
      <c r="F96" s="16"/>
      <c r="G96" s="454"/>
      <c r="H96" s="455"/>
      <c r="I96" s="455"/>
      <c r="J96" s="455"/>
      <c r="K96" s="455"/>
      <c r="L96" s="455"/>
      <c r="M96" s="455"/>
      <c r="N96" s="455"/>
      <c r="O96" s="455"/>
      <c r="P96" s="455"/>
      <c r="Q96" s="455"/>
      <c r="R96" s="455"/>
      <c r="S96" s="455"/>
      <c r="T96" s="455"/>
      <c r="U96" s="455"/>
      <c r="V96" s="455"/>
      <c r="W96" s="455"/>
      <c r="X96" s="455"/>
      <c r="Y96" s="456"/>
      <c r="Z96" s="293">
        <f>+SUM(Z9:Z94)</f>
        <v>589</v>
      </c>
      <c r="AA96" s="294"/>
    </row>
    <row r="97" spans="4:27" ht="15.75" customHeight="1" thickBot="1">
      <c r="D97" s="16"/>
      <c r="E97" s="16"/>
      <c r="F97" s="16"/>
      <c r="G97" s="429"/>
      <c r="H97" s="430"/>
      <c r="I97" s="430"/>
      <c r="J97" s="430"/>
      <c r="K97" s="430"/>
      <c r="L97" s="430"/>
      <c r="M97" s="430"/>
      <c r="N97" s="430"/>
      <c r="O97" s="430"/>
      <c r="P97" s="430"/>
      <c r="Q97" s="430"/>
      <c r="R97" s="430"/>
      <c r="S97" s="430"/>
      <c r="T97" s="430"/>
      <c r="U97" s="430"/>
      <c r="V97" s="430"/>
      <c r="W97" s="430"/>
      <c r="X97" s="430"/>
      <c r="Y97" s="430"/>
      <c r="Z97" s="431"/>
      <c r="AA97" s="292">
        <f>SUM(AA9:AA94)</f>
        <v>18848</v>
      </c>
    </row>
    <row r="98" spans="4:27" ht="15.75" customHeight="1"/>
    <row r="99" spans="4:27" ht="15.75" customHeight="1"/>
    <row r="100" spans="4:27" ht="15.75" customHeight="1">
      <c r="Z100" s="17"/>
    </row>
    <row r="101" spans="4:27" ht="15.75" customHeight="1"/>
    <row r="102" spans="4:27" ht="15.75" customHeight="1"/>
    <row r="103" spans="4:27" ht="15.75" customHeight="1"/>
    <row r="104" spans="4:27" ht="15.75" customHeight="1"/>
    <row r="105" spans="4:27" ht="15.75" customHeight="1"/>
    <row r="106" spans="4:27" ht="15.75" customHeight="1"/>
    <row r="107" spans="4:27" ht="15.75" customHeight="1"/>
    <row r="108" spans="4:27" ht="15.75" customHeight="1"/>
    <row r="109" spans="4:27" ht="15.75" customHeight="1"/>
    <row r="110" spans="4:27" ht="15.75" customHeight="1"/>
    <row r="111" spans="4:27" ht="15.75" customHeight="1"/>
    <row r="112" spans="4:2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</sheetData>
  <sortState ref="B9:W88">
    <sortCondition ref="B9:B88"/>
  </sortState>
  <mergeCells count="13">
    <mergeCell ref="G97:Z97"/>
    <mergeCell ref="AA5:AA8"/>
    <mergeCell ref="Z95:AA95"/>
    <mergeCell ref="A1:AA4"/>
    <mergeCell ref="A5:A8"/>
    <mergeCell ref="B5:B8"/>
    <mergeCell ref="C5:C8"/>
    <mergeCell ref="D5:D8"/>
    <mergeCell ref="E5:E8"/>
    <mergeCell ref="F5:F8"/>
    <mergeCell ref="Z5:Z8"/>
    <mergeCell ref="G5:Y5"/>
    <mergeCell ref="G96:Y96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83"/>
  <sheetViews>
    <sheetView zoomScaleNormal="83" workbookViewId="0">
      <pane ySplit="8" topLeftCell="A72" activePane="bottomLeft" state="frozen"/>
      <selection pane="bottomLeft" activeCell="P86" sqref="P86"/>
    </sheetView>
  </sheetViews>
  <sheetFormatPr baseColWidth="10" defaultColWidth="14.5" defaultRowHeight="15" customHeight="1"/>
  <cols>
    <col min="1" max="1" width="3.83203125" customWidth="1"/>
    <col min="2" max="2" width="27.5" customWidth="1"/>
    <col min="3" max="3" width="11.6640625" customWidth="1"/>
    <col min="4" max="4" width="10.5" customWidth="1"/>
    <col min="5" max="5" width="12" customWidth="1"/>
    <col min="6" max="6" width="45.6640625" customWidth="1"/>
    <col min="7" max="11" width="3.33203125" customWidth="1"/>
    <col min="12" max="14" width="3.1640625" customWidth="1"/>
    <col min="15" max="25" width="3.33203125" customWidth="1"/>
    <col min="26" max="27" width="10.6640625" customWidth="1"/>
  </cols>
  <sheetData>
    <row r="1" spans="1:27">
      <c r="A1" s="437" t="s">
        <v>147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</row>
    <row r="2" spans="1:27">
      <c r="A2" s="438"/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</row>
    <row r="3" spans="1:27">
      <c r="A3" s="438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</row>
    <row r="4" spans="1:27" ht="16" thickBot="1">
      <c r="A4" s="440"/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  <c r="Z4" s="441"/>
      <c r="AA4" s="441"/>
    </row>
    <row r="5" spans="1:27" ht="15" customHeight="1" thickBot="1">
      <c r="A5" s="457" t="s">
        <v>8</v>
      </c>
      <c r="B5" s="445" t="s">
        <v>0</v>
      </c>
      <c r="C5" s="445" t="s">
        <v>1</v>
      </c>
      <c r="D5" s="446" t="s">
        <v>2</v>
      </c>
      <c r="E5" s="446" t="s">
        <v>3</v>
      </c>
      <c r="F5" s="458" t="s">
        <v>9</v>
      </c>
      <c r="G5" s="451" t="s">
        <v>747</v>
      </c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3"/>
      <c r="Z5" s="432" t="s">
        <v>10</v>
      </c>
      <c r="AA5" s="432" t="s">
        <v>11</v>
      </c>
    </row>
    <row r="6" spans="1:27">
      <c r="A6" s="444"/>
      <c r="B6" s="433"/>
      <c r="C6" s="433"/>
      <c r="D6" s="447"/>
      <c r="E6" s="447"/>
      <c r="F6" s="438"/>
      <c r="G6" s="261" t="s">
        <v>12</v>
      </c>
      <c r="H6" s="261" t="s">
        <v>13</v>
      </c>
      <c r="I6" s="261" t="s">
        <v>13</v>
      </c>
      <c r="J6" s="261" t="s">
        <v>12</v>
      </c>
      <c r="K6" s="261" t="s">
        <v>13</v>
      </c>
      <c r="L6" s="261" t="s">
        <v>13</v>
      </c>
      <c r="M6" s="261" t="s">
        <v>14</v>
      </c>
      <c r="N6" s="261" t="s">
        <v>15</v>
      </c>
      <c r="O6" s="261" t="s">
        <v>12</v>
      </c>
      <c r="P6" s="261" t="s">
        <v>13</v>
      </c>
      <c r="Q6" s="261" t="s">
        <v>13</v>
      </c>
      <c r="R6" s="261" t="s">
        <v>14</v>
      </c>
      <c r="S6" s="261" t="s">
        <v>15</v>
      </c>
      <c r="T6" s="261" t="s">
        <v>12</v>
      </c>
      <c r="U6" s="261" t="s">
        <v>13</v>
      </c>
      <c r="V6" s="261" t="s">
        <v>13</v>
      </c>
      <c r="W6" s="261" t="s">
        <v>14</v>
      </c>
      <c r="X6" s="261" t="s">
        <v>15</v>
      </c>
      <c r="Y6" s="261" t="s">
        <v>12</v>
      </c>
      <c r="Z6" s="433"/>
      <c r="AA6" s="433"/>
    </row>
    <row r="7" spans="1:27">
      <c r="A7" s="444"/>
      <c r="B7" s="433"/>
      <c r="C7" s="433"/>
      <c r="D7" s="447"/>
      <c r="E7" s="447"/>
      <c r="F7" s="438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3">
        <v>13</v>
      </c>
      <c r="T7" s="3">
        <v>14</v>
      </c>
      <c r="U7" s="3">
        <v>15</v>
      </c>
      <c r="V7" s="3">
        <v>16</v>
      </c>
      <c r="W7" s="3">
        <v>17</v>
      </c>
      <c r="X7" s="3">
        <v>18</v>
      </c>
      <c r="Y7" s="3">
        <v>19</v>
      </c>
      <c r="Z7" s="433"/>
      <c r="AA7" s="433"/>
    </row>
    <row r="8" spans="1:27">
      <c r="A8" s="442"/>
      <c r="B8" s="433"/>
      <c r="C8" s="433"/>
      <c r="D8" s="447"/>
      <c r="E8" s="447"/>
      <c r="F8" s="440"/>
      <c r="G8" s="4">
        <v>3</v>
      </c>
      <c r="H8" s="4">
        <v>4</v>
      </c>
      <c r="I8" s="4">
        <v>5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17</v>
      </c>
      <c r="P8" s="4">
        <v>18</v>
      </c>
      <c r="Q8" s="4">
        <v>19</v>
      </c>
      <c r="R8" s="4">
        <v>20</v>
      </c>
      <c r="S8" s="4">
        <v>21</v>
      </c>
      <c r="T8" s="4">
        <v>24</v>
      </c>
      <c r="U8" s="4">
        <v>25</v>
      </c>
      <c r="V8" s="4">
        <v>26</v>
      </c>
      <c r="W8" s="4">
        <v>27</v>
      </c>
      <c r="X8" s="4">
        <v>28</v>
      </c>
      <c r="Y8" s="4">
        <v>31</v>
      </c>
      <c r="Z8" s="434"/>
      <c r="AA8" s="434"/>
    </row>
    <row r="9" spans="1:27">
      <c r="A9" s="108">
        <v>1</v>
      </c>
      <c r="B9" s="108" t="s">
        <v>315</v>
      </c>
      <c r="C9" s="111" t="s">
        <v>64</v>
      </c>
      <c r="D9" s="113"/>
      <c r="E9" s="69"/>
      <c r="F9" s="57"/>
      <c r="G9" s="10"/>
      <c r="H9" s="10"/>
      <c r="I9" s="10"/>
      <c r="J9" s="10"/>
      <c r="K9" s="10"/>
      <c r="L9" s="10"/>
      <c r="M9" s="10"/>
      <c r="N9" s="10"/>
      <c r="O9" s="10"/>
      <c r="P9" s="5"/>
      <c r="Q9" s="10"/>
      <c r="R9" s="10"/>
      <c r="S9" s="10"/>
      <c r="T9" s="10"/>
      <c r="U9" s="10"/>
      <c r="V9" s="10"/>
      <c r="W9" s="10"/>
      <c r="X9" s="10"/>
      <c r="Y9" s="10"/>
      <c r="Z9" s="5">
        <f t="shared" ref="Z9" si="0">+SUM(G9:Y9)</f>
        <v>0</v>
      </c>
      <c r="AA9" s="5">
        <f>+Z9*32</f>
        <v>0</v>
      </c>
    </row>
    <row r="10" spans="1:27">
      <c r="A10" s="108">
        <v>2</v>
      </c>
      <c r="B10" s="108" t="s">
        <v>316</v>
      </c>
      <c r="C10" s="111" t="s">
        <v>64</v>
      </c>
      <c r="D10" s="114"/>
      <c r="E10" s="71"/>
      <c r="F10" s="52"/>
      <c r="G10" s="5"/>
      <c r="H10" s="5"/>
      <c r="I10" s="318">
        <v>1</v>
      </c>
      <c r="J10" s="318">
        <v>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f t="shared" ref="Z10:Z72" si="1">+SUM(G10:Y10)</f>
        <v>2</v>
      </c>
      <c r="AA10" s="5">
        <f t="shared" ref="AA10:AA72" si="2">+Z10*32</f>
        <v>64</v>
      </c>
    </row>
    <row r="11" spans="1:27">
      <c r="A11" s="108">
        <v>3</v>
      </c>
      <c r="B11" s="108" t="s">
        <v>317</v>
      </c>
      <c r="C11" s="111" t="s">
        <v>64</v>
      </c>
      <c r="D11" s="114"/>
      <c r="E11" s="71"/>
      <c r="F11" s="5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>
        <f t="shared" si="1"/>
        <v>0</v>
      </c>
      <c r="AA11" s="5">
        <f t="shared" si="2"/>
        <v>0</v>
      </c>
    </row>
    <row r="12" spans="1:27">
      <c r="A12" s="108">
        <v>4</v>
      </c>
      <c r="B12" s="120" t="s">
        <v>170</v>
      </c>
      <c r="C12" s="121" t="s">
        <v>64</v>
      </c>
      <c r="D12" s="114"/>
      <c r="E12" s="71"/>
      <c r="F12" s="393" t="s">
        <v>696</v>
      </c>
      <c r="G12" s="318">
        <v>1</v>
      </c>
      <c r="H12" s="318">
        <v>1</v>
      </c>
      <c r="I12" s="318">
        <v>1</v>
      </c>
      <c r="J12" s="318">
        <v>1</v>
      </c>
      <c r="K12" s="318">
        <v>1</v>
      </c>
      <c r="L12" s="318">
        <v>1</v>
      </c>
      <c r="M12" s="318">
        <v>1</v>
      </c>
      <c r="N12" s="318">
        <v>1</v>
      </c>
      <c r="O12" s="318">
        <v>1</v>
      </c>
      <c r="P12" s="318">
        <v>1</v>
      </c>
      <c r="Q12" s="330">
        <v>1</v>
      </c>
      <c r="R12" s="330">
        <v>1</v>
      </c>
      <c r="S12" s="330">
        <v>1</v>
      </c>
      <c r="T12" s="330">
        <v>1</v>
      </c>
      <c r="U12" s="330">
        <v>1</v>
      </c>
      <c r="V12" s="330">
        <v>1</v>
      </c>
      <c r="W12" s="330">
        <v>1</v>
      </c>
      <c r="X12" s="330">
        <v>1</v>
      </c>
      <c r="Y12" s="330"/>
      <c r="Z12" s="5">
        <f t="shared" si="1"/>
        <v>18</v>
      </c>
      <c r="AA12" s="5">
        <f t="shared" si="2"/>
        <v>576</v>
      </c>
    </row>
    <row r="13" spans="1:27">
      <c r="A13" s="108">
        <v>5</v>
      </c>
      <c r="B13" s="122" t="s">
        <v>156</v>
      </c>
      <c r="C13" s="123" t="s">
        <v>492</v>
      </c>
      <c r="D13" s="113"/>
      <c r="E13" s="68"/>
      <c r="F13" s="57"/>
      <c r="G13" s="10"/>
      <c r="H13" s="10"/>
      <c r="I13" s="10"/>
      <c r="J13" s="10"/>
      <c r="K13" s="308">
        <v>1</v>
      </c>
      <c r="L13" s="308">
        <v>1</v>
      </c>
      <c r="M13" s="308">
        <v>1</v>
      </c>
      <c r="N13" s="10"/>
      <c r="O13" s="308">
        <v>1</v>
      </c>
      <c r="P13" s="308">
        <v>1</v>
      </c>
      <c r="Q13" s="10"/>
      <c r="R13" s="308">
        <v>1</v>
      </c>
      <c r="S13" s="10"/>
      <c r="T13" s="308">
        <v>1</v>
      </c>
      <c r="U13" s="10"/>
      <c r="V13" s="307">
        <v>1</v>
      </c>
      <c r="W13" s="307">
        <v>1</v>
      </c>
      <c r="X13" s="10"/>
      <c r="Y13" s="10"/>
      <c r="Z13" s="5">
        <f t="shared" si="1"/>
        <v>9</v>
      </c>
      <c r="AA13" s="5">
        <f t="shared" si="2"/>
        <v>288</v>
      </c>
    </row>
    <row r="14" spans="1:27">
      <c r="A14" s="108">
        <v>6</v>
      </c>
      <c r="B14" s="122" t="s">
        <v>180</v>
      </c>
      <c r="C14" s="123" t="s">
        <v>50</v>
      </c>
      <c r="D14" s="113"/>
      <c r="E14" s="67"/>
      <c r="F14" s="61"/>
      <c r="G14" s="10"/>
      <c r="H14" s="10"/>
      <c r="I14" s="10"/>
      <c r="J14" s="10"/>
      <c r="K14" s="10"/>
      <c r="L14" s="307">
        <v>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5">
        <f t="shared" si="1"/>
        <v>1</v>
      </c>
      <c r="AA14" s="5">
        <f t="shared" si="2"/>
        <v>32</v>
      </c>
    </row>
    <row r="15" spans="1:27" ht="15.75" customHeight="1">
      <c r="A15" s="108">
        <v>7</v>
      </c>
      <c r="B15" s="122" t="s">
        <v>705</v>
      </c>
      <c r="C15" s="123" t="s">
        <v>21</v>
      </c>
      <c r="D15" s="113"/>
      <c r="E15" s="69"/>
      <c r="F15" s="57"/>
      <c r="G15" s="10"/>
      <c r="H15" s="10"/>
      <c r="I15" s="5"/>
      <c r="J15" s="10"/>
      <c r="K15" s="10"/>
      <c r="L15" s="10"/>
      <c r="M15" s="10"/>
      <c r="N15" s="10"/>
      <c r="O15" s="10"/>
      <c r="P15" s="10"/>
      <c r="Q15" s="10"/>
      <c r="R15" s="10"/>
      <c r="S15" s="5"/>
      <c r="T15" s="5"/>
      <c r="U15" s="5"/>
      <c r="V15" s="5"/>
      <c r="W15" s="5"/>
      <c r="X15" s="5"/>
      <c r="Y15" s="5"/>
      <c r="Z15" s="5">
        <f t="shared" si="1"/>
        <v>0</v>
      </c>
      <c r="AA15" s="5">
        <f t="shared" si="2"/>
        <v>0</v>
      </c>
    </row>
    <row r="16" spans="1:27">
      <c r="A16" s="108">
        <v>8</v>
      </c>
      <c r="B16" s="122" t="s">
        <v>178</v>
      </c>
      <c r="C16" s="123" t="s">
        <v>501</v>
      </c>
      <c r="D16" s="113"/>
      <c r="E16" s="69"/>
      <c r="F16" s="224"/>
      <c r="G16" s="318">
        <v>1</v>
      </c>
      <c r="H16" s="318">
        <v>1</v>
      </c>
      <c r="I16" s="314">
        <v>1</v>
      </c>
      <c r="J16" s="318">
        <v>1</v>
      </c>
      <c r="K16" s="318">
        <v>1</v>
      </c>
      <c r="L16" s="318">
        <v>1</v>
      </c>
      <c r="M16" s="318">
        <v>1</v>
      </c>
      <c r="N16" s="318">
        <v>1</v>
      </c>
      <c r="O16" s="318">
        <v>1</v>
      </c>
      <c r="P16" s="318">
        <v>1</v>
      </c>
      <c r="Q16" s="318">
        <v>1</v>
      </c>
      <c r="R16" s="318">
        <v>1</v>
      </c>
      <c r="S16" s="318">
        <v>1</v>
      </c>
      <c r="T16" s="318">
        <v>1</v>
      </c>
      <c r="U16" s="318">
        <v>1</v>
      </c>
      <c r="V16" s="318">
        <v>1</v>
      </c>
      <c r="W16" s="318">
        <v>1</v>
      </c>
      <c r="X16" s="318">
        <v>1</v>
      </c>
      <c r="Y16" s="318"/>
      <c r="Z16" s="5">
        <f t="shared" si="1"/>
        <v>18</v>
      </c>
      <c r="AA16" s="5">
        <f t="shared" si="2"/>
        <v>576</v>
      </c>
    </row>
    <row r="17" spans="1:27">
      <c r="A17" s="108">
        <v>9</v>
      </c>
      <c r="B17" s="122" t="s">
        <v>176</v>
      </c>
      <c r="C17" s="123" t="s">
        <v>498</v>
      </c>
      <c r="D17" s="113"/>
      <c r="E17" s="69"/>
      <c r="F17" s="50"/>
      <c r="G17" s="318">
        <v>1</v>
      </c>
      <c r="H17" s="318">
        <v>1</v>
      </c>
      <c r="I17" s="314">
        <v>1</v>
      </c>
      <c r="J17" s="318">
        <v>1</v>
      </c>
      <c r="K17" s="318">
        <v>1</v>
      </c>
      <c r="L17" s="318">
        <v>1</v>
      </c>
      <c r="M17" s="318">
        <v>1</v>
      </c>
      <c r="N17" s="318">
        <v>1</v>
      </c>
      <c r="O17" s="318">
        <v>1</v>
      </c>
      <c r="P17" s="318">
        <v>1</v>
      </c>
      <c r="Q17" s="318">
        <v>1</v>
      </c>
      <c r="R17" s="318">
        <v>1</v>
      </c>
      <c r="S17" s="318">
        <v>1</v>
      </c>
      <c r="T17" s="318">
        <v>1</v>
      </c>
      <c r="U17" s="318">
        <v>1</v>
      </c>
      <c r="V17" s="318">
        <v>1</v>
      </c>
      <c r="W17" s="318">
        <v>1</v>
      </c>
      <c r="X17" s="318">
        <v>1</v>
      </c>
      <c r="Y17" s="330"/>
      <c r="Z17" s="5">
        <f t="shared" si="1"/>
        <v>18</v>
      </c>
      <c r="AA17" s="5">
        <f t="shared" si="2"/>
        <v>576</v>
      </c>
    </row>
    <row r="18" spans="1:27">
      <c r="A18" s="108">
        <v>10</v>
      </c>
      <c r="B18" s="122" t="s">
        <v>318</v>
      </c>
      <c r="C18" s="123" t="s">
        <v>50</v>
      </c>
      <c r="D18" s="115"/>
      <c r="E18" s="68"/>
      <c r="F18" s="57"/>
      <c r="G18" s="308">
        <v>1</v>
      </c>
      <c r="H18" s="314">
        <v>1</v>
      </c>
      <c r="I18" s="314">
        <v>1</v>
      </c>
      <c r="J18" s="262"/>
      <c r="K18" s="314">
        <v>1</v>
      </c>
      <c r="L18" s="314">
        <v>1</v>
      </c>
      <c r="M18" s="314">
        <v>1</v>
      </c>
      <c r="N18" s="314">
        <v>1</v>
      </c>
      <c r="O18" s="314">
        <v>1</v>
      </c>
      <c r="P18" s="314">
        <v>1</v>
      </c>
      <c r="Q18" s="314">
        <v>1</v>
      </c>
      <c r="R18" s="314">
        <v>1</v>
      </c>
      <c r="S18" s="5"/>
      <c r="T18" s="318">
        <v>1</v>
      </c>
      <c r="U18" s="318">
        <v>1</v>
      </c>
      <c r="V18" s="318">
        <v>1</v>
      </c>
      <c r="W18" s="50"/>
      <c r="X18" s="318">
        <v>1</v>
      </c>
      <c r="Y18" s="5"/>
      <c r="Z18" s="5">
        <f t="shared" si="1"/>
        <v>15</v>
      </c>
      <c r="AA18" s="5">
        <f t="shared" si="2"/>
        <v>480</v>
      </c>
    </row>
    <row r="19" spans="1:27">
      <c r="A19" s="108">
        <v>11</v>
      </c>
      <c r="B19" s="122" t="s">
        <v>512</v>
      </c>
      <c r="C19" s="123" t="s">
        <v>498</v>
      </c>
      <c r="D19" s="115"/>
      <c r="E19" s="68"/>
      <c r="F19" s="57"/>
      <c r="G19" s="308">
        <v>1</v>
      </c>
      <c r="H19" s="314">
        <v>1</v>
      </c>
      <c r="I19" s="314">
        <v>1</v>
      </c>
      <c r="J19" s="314">
        <v>1</v>
      </c>
      <c r="K19" s="314">
        <v>1</v>
      </c>
      <c r="L19" s="314">
        <v>1</v>
      </c>
      <c r="M19" s="314">
        <v>1</v>
      </c>
      <c r="N19" s="314">
        <v>0</v>
      </c>
      <c r="O19" s="395">
        <v>0</v>
      </c>
      <c r="P19" s="314">
        <v>1</v>
      </c>
      <c r="Q19" s="314">
        <v>1</v>
      </c>
      <c r="R19" s="314">
        <v>1</v>
      </c>
      <c r="S19" s="318">
        <v>1</v>
      </c>
      <c r="T19" s="318">
        <v>1</v>
      </c>
      <c r="U19" s="318">
        <v>1</v>
      </c>
      <c r="V19" s="318">
        <v>1</v>
      </c>
      <c r="W19" s="318">
        <v>1</v>
      </c>
      <c r="X19" s="318">
        <v>1</v>
      </c>
      <c r="Y19" s="5"/>
      <c r="Z19" s="5">
        <f t="shared" si="1"/>
        <v>16</v>
      </c>
      <c r="AA19" s="5">
        <f t="shared" si="2"/>
        <v>512</v>
      </c>
    </row>
    <row r="20" spans="1:27">
      <c r="A20" s="108">
        <v>12</v>
      </c>
      <c r="B20" s="122" t="s">
        <v>63</v>
      </c>
      <c r="C20" s="123" t="s">
        <v>498</v>
      </c>
      <c r="D20" s="115"/>
      <c r="E20" s="68"/>
      <c r="F20" s="57"/>
      <c r="G20" s="10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5"/>
      <c r="T20" s="5"/>
      <c r="U20" s="5"/>
      <c r="V20" s="5"/>
      <c r="W20" s="330">
        <v>1</v>
      </c>
      <c r="X20" s="330">
        <v>1</v>
      </c>
      <c r="Y20" s="5"/>
      <c r="Z20" s="5">
        <f t="shared" si="1"/>
        <v>2</v>
      </c>
      <c r="AA20" s="5">
        <f t="shared" si="2"/>
        <v>64</v>
      </c>
    </row>
    <row r="21" spans="1:27">
      <c r="A21" s="108">
        <v>13</v>
      </c>
      <c r="B21" s="122" t="s">
        <v>319</v>
      </c>
      <c r="C21" s="123" t="s">
        <v>492</v>
      </c>
      <c r="D21" s="115"/>
      <c r="E21" s="68"/>
      <c r="F21" s="377" t="s">
        <v>727</v>
      </c>
      <c r="G21" s="308">
        <v>1</v>
      </c>
      <c r="H21" s="262"/>
      <c r="I21" s="262"/>
      <c r="J21" s="314">
        <v>1</v>
      </c>
      <c r="K21" s="262"/>
      <c r="L21" s="262"/>
      <c r="M21" s="262"/>
      <c r="N21" s="262"/>
      <c r="O21" s="314">
        <v>1</v>
      </c>
      <c r="P21" s="262"/>
      <c r="Q21" s="262"/>
      <c r="R21" s="314">
        <v>1</v>
      </c>
      <c r="S21" s="5"/>
      <c r="T21" s="318">
        <v>1</v>
      </c>
      <c r="U21" s="5"/>
      <c r="V21" s="318">
        <v>1</v>
      </c>
      <c r="W21" s="318">
        <v>1</v>
      </c>
      <c r="X21" s="318">
        <v>1</v>
      </c>
      <c r="Y21" s="318"/>
      <c r="Z21" s="5">
        <f t="shared" si="1"/>
        <v>8</v>
      </c>
      <c r="AA21" s="5">
        <f t="shared" si="2"/>
        <v>256</v>
      </c>
    </row>
    <row r="22" spans="1:27">
      <c r="A22" s="108">
        <v>14</v>
      </c>
      <c r="B22" s="120" t="s">
        <v>217</v>
      </c>
      <c r="C22" s="121" t="s">
        <v>492</v>
      </c>
      <c r="D22" s="115"/>
      <c r="E22" s="68"/>
      <c r="F22" s="142" t="s">
        <v>791</v>
      </c>
      <c r="G22" s="328">
        <v>1</v>
      </c>
      <c r="H22" s="343">
        <v>1</v>
      </c>
      <c r="I22" s="343">
        <v>1</v>
      </c>
      <c r="J22" s="343">
        <v>1</v>
      </c>
      <c r="K22" s="343">
        <v>1</v>
      </c>
      <c r="L22" s="343">
        <v>1</v>
      </c>
      <c r="M22" s="343">
        <v>1</v>
      </c>
      <c r="N22" s="343">
        <v>1</v>
      </c>
      <c r="O22" s="343">
        <v>1</v>
      </c>
      <c r="P22" s="343">
        <v>1</v>
      </c>
      <c r="Q22" s="343">
        <v>1</v>
      </c>
      <c r="R22" s="343">
        <v>1</v>
      </c>
      <c r="S22" s="329">
        <v>1</v>
      </c>
      <c r="T22" s="329">
        <v>1</v>
      </c>
      <c r="U22" s="329">
        <v>1</v>
      </c>
      <c r="V22" s="329">
        <v>1</v>
      </c>
      <c r="W22" s="329">
        <v>1</v>
      </c>
      <c r="X22" s="329">
        <v>1</v>
      </c>
      <c r="Y22" s="329"/>
      <c r="Z22" s="5">
        <f t="shared" si="1"/>
        <v>18</v>
      </c>
      <c r="AA22" s="5">
        <f t="shared" si="2"/>
        <v>576</v>
      </c>
    </row>
    <row r="23" spans="1:27">
      <c r="A23" s="108">
        <v>15</v>
      </c>
      <c r="B23" s="120" t="s">
        <v>272</v>
      </c>
      <c r="C23" s="121" t="s">
        <v>498</v>
      </c>
      <c r="D23" s="115"/>
      <c r="E23" s="68"/>
      <c r="F23" s="57"/>
      <c r="G23" s="328">
        <v>1</v>
      </c>
      <c r="H23" s="48"/>
      <c r="I23" s="48"/>
      <c r="J23" s="343">
        <v>1</v>
      </c>
      <c r="K23" s="343">
        <v>1</v>
      </c>
      <c r="L23" s="343">
        <v>1</v>
      </c>
      <c r="M23" s="48"/>
      <c r="N23" s="48"/>
      <c r="O23" s="48"/>
      <c r="P23" s="343">
        <v>1</v>
      </c>
      <c r="Q23" s="48"/>
      <c r="R23" s="343">
        <v>1</v>
      </c>
      <c r="S23" s="329">
        <v>1</v>
      </c>
      <c r="T23" s="330">
        <v>1</v>
      </c>
      <c r="U23" s="330">
        <v>1</v>
      </c>
      <c r="V23" s="330">
        <v>1</v>
      </c>
      <c r="W23" s="330">
        <v>1</v>
      </c>
      <c r="X23" s="330">
        <v>1</v>
      </c>
      <c r="Y23" s="330"/>
      <c r="Z23" s="5">
        <f t="shared" si="1"/>
        <v>12</v>
      </c>
      <c r="AA23" s="5">
        <f t="shared" si="2"/>
        <v>384</v>
      </c>
    </row>
    <row r="24" spans="1:27">
      <c r="A24" s="108">
        <v>16</v>
      </c>
      <c r="B24" s="120" t="s">
        <v>366</v>
      </c>
      <c r="C24" s="121" t="s">
        <v>498</v>
      </c>
      <c r="D24" s="115"/>
      <c r="E24" s="68"/>
      <c r="F24" s="142" t="s">
        <v>473</v>
      </c>
      <c r="G24" s="328">
        <v>1</v>
      </c>
      <c r="H24" s="343">
        <v>1</v>
      </c>
      <c r="I24" s="343">
        <v>1</v>
      </c>
      <c r="J24" s="343">
        <v>1</v>
      </c>
      <c r="K24" s="343">
        <v>1</v>
      </c>
      <c r="L24" s="343">
        <v>1</v>
      </c>
      <c r="M24" s="343">
        <v>1</v>
      </c>
      <c r="N24" s="343">
        <v>1</v>
      </c>
      <c r="O24" s="316">
        <v>1</v>
      </c>
      <c r="P24" s="316">
        <v>1</v>
      </c>
      <c r="Q24" s="316">
        <v>1</v>
      </c>
      <c r="R24" s="316">
        <v>1</v>
      </c>
      <c r="S24" s="330">
        <v>1</v>
      </c>
      <c r="T24" s="330">
        <v>1</v>
      </c>
      <c r="U24" s="330">
        <v>1</v>
      </c>
      <c r="V24" s="330">
        <v>1</v>
      </c>
      <c r="W24" s="330">
        <v>1</v>
      </c>
      <c r="X24" s="330">
        <v>1</v>
      </c>
      <c r="Y24" s="330"/>
      <c r="Z24" s="5">
        <f t="shared" si="1"/>
        <v>18</v>
      </c>
      <c r="AA24" s="5">
        <f t="shared" si="2"/>
        <v>576</v>
      </c>
    </row>
    <row r="25" spans="1:27">
      <c r="A25" s="108">
        <v>17</v>
      </c>
      <c r="B25" s="120" t="s">
        <v>150</v>
      </c>
      <c r="C25" s="121" t="s">
        <v>520</v>
      </c>
      <c r="D25" s="115"/>
      <c r="E25" s="68"/>
      <c r="F25" s="230"/>
      <c r="G25" s="308">
        <v>1</v>
      </c>
      <c r="H25" s="314">
        <v>1</v>
      </c>
      <c r="I25" s="314">
        <v>1</v>
      </c>
      <c r="J25" s="314">
        <v>1</v>
      </c>
      <c r="K25" s="314">
        <v>1</v>
      </c>
      <c r="L25" s="314">
        <v>1</v>
      </c>
      <c r="M25" s="314">
        <v>1</v>
      </c>
      <c r="N25" s="314">
        <v>1</v>
      </c>
      <c r="O25" s="314">
        <v>1</v>
      </c>
      <c r="P25" s="314">
        <v>1</v>
      </c>
      <c r="Q25" s="314">
        <v>1</v>
      </c>
      <c r="R25" s="314">
        <v>1</v>
      </c>
      <c r="S25" s="318">
        <v>1</v>
      </c>
      <c r="T25" s="318">
        <v>1</v>
      </c>
      <c r="U25" s="318">
        <v>1</v>
      </c>
      <c r="V25" s="318">
        <v>1</v>
      </c>
      <c r="W25" s="318">
        <v>1</v>
      </c>
      <c r="X25" s="318">
        <v>1</v>
      </c>
      <c r="Y25" s="330"/>
      <c r="Z25" s="5">
        <f t="shared" si="1"/>
        <v>18</v>
      </c>
      <c r="AA25" s="5">
        <f t="shared" si="2"/>
        <v>576</v>
      </c>
    </row>
    <row r="26" spans="1:27" ht="15.75" customHeight="1">
      <c r="A26" s="108">
        <v>18</v>
      </c>
      <c r="B26" s="120" t="s">
        <v>149</v>
      </c>
      <c r="C26" s="121" t="s">
        <v>497</v>
      </c>
      <c r="D26" s="114"/>
      <c r="E26" s="71"/>
      <c r="F26" s="140" t="s">
        <v>697</v>
      </c>
      <c r="G26" s="308">
        <v>1</v>
      </c>
      <c r="H26" s="308">
        <v>1</v>
      </c>
      <c r="I26" s="308">
        <v>1</v>
      </c>
      <c r="J26" s="308">
        <v>1</v>
      </c>
      <c r="K26" s="308">
        <v>1</v>
      </c>
      <c r="L26" s="308">
        <v>1</v>
      </c>
      <c r="M26" s="308">
        <v>1</v>
      </c>
      <c r="N26" s="308">
        <v>1</v>
      </c>
      <c r="O26" s="308">
        <v>1</v>
      </c>
      <c r="P26" s="308">
        <v>1</v>
      </c>
      <c r="Q26" s="308">
        <v>1</v>
      </c>
      <c r="R26" s="308">
        <v>1</v>
      </c>
      <c r="S26" s="308">
        <v>1</v>
      </c>
      <c r="T26" s="308">
        <v>1</v>
      </c>
      <c r="U26" s="308">
        <v>1</v>
      </c>
      <c r="V26" s="308">
        <v>1</v>
      </c>
      <c r="W26" s="308">
        <v>1</v>
      </c>
      <c r="X26" s="308">
        <v>1</v>
      </c>
      <c r="Y26" s="307"/>
      <c r="Z26" s="5">
        <f t="shared" si="1"/>
        <v>18</v>
      </c>
      <c r="AA26" s="5">
        <f t="shared" si="2"/>
        <v>576</v>
      </c>
    </row>
    <row r="27" spans="1:27" ht="15.75" customHeight="1">
      <c r="A27" s="108">
        <v>19</v>
      </c>
      <c r="B27" s="120" t="s">
        <v>320</v>
      </c>
      <c r="C27" s="121" t="s">
        <v>21</v>
      </c>
      <c r="D27" s="113"/>
      <c r="E27" s="69"/>
      <c r="F27" s="5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>
        <f t="shared" si="1"/>
        <v>0</v>
      </c>
      <c r="AA27" s="5">
        <f t="shared" si="2"/>
        <v>0</v>
      </c>
    </row>
    <row r="28" spans="1:27" s="92" customFormat="1" ht="15.75" customHeight="1">
      <c r="A28" s="108">
        <v>20</v>
      </c>
      <c r="B28" s="120" t="s">
        <v>98</v>
      </c>
      <c r="C28" s="121" t="s">
        <v>501</v>
      </c>
      <c r="D28" s="174"/>
      <c r="E28" s="178"/>
      <c r="F28" s="123"/>
      <c r="G28" s="318">
        <v>1</v>
      </c>
      <c r="H28" s="318">
        <v>1</v>
      </c>
      <c r="I28" s="318">
        <v>1</v>
      </c>
      <c r="J28" s="318">
        <v>1</v>
      </c>
      <c r="K28" s="318">
        <v>1</v>
      </c>
      <c r="L28" s="318">
        <v>1</v>
      </c>
      <c r="M28" s="318">
        <v>1</v>
      </c>
      <c r="N28" s="318">
        <v>1</v>
      </c>
      <c r="O28" s="318">
        <v>1</v>
      </c>
      <c r="P28" s="318">
        <v>1</v>
      </c>
      <c r="Q28" s="318">
        <v>1</v>
      </c>
      <c r="R28" s="318">
        <v>1</v>
      </c>
      <c r="S28" s="318">
        <v>1</v>
      </c>
      <c r="T28" s="318">
        <v>1</v>
      </c>
      <c r="U28" s="318">
        <v>1</v>
      </c>
      <c r="V28" s="318">
        <v>1</v>
      </c>
      <c r="W28" s="318">
        <v>1</v>
      </c>
      <c r="X28" s="318">
        <v>1</v>
      </c>
      <c r="Y28" s="318"/>
      <c r="Z28" s="5">
        <f t="shared" si="1"/>
        <v>18</v>
      </c>
      <c r="AA28" s="5">
        <f t="shared" si="2"/>
        <v>576</v>
      </c>
    </row>
    <row r="29" spans="1:27" s="92" customFormat="1" ht="15.75" customHeight="1">
      <c r="A29" s="108">
        <v>21</v>
      </c>
      <c r="B29" s="120" t="s">
        <v>367</v>
      </c>
      <c r="C29" s="121" t="s">
        <v>520</v>
      </c>
      <c r="D29" s="174"/>
      <c r="E29" s="178"/>
      <c r="F29" s="123"/>
      <c r="G29" s="5"/>
      <c r="H29" s="5"/>
      <c r="I29" s="5"/>
      <c r="J29" s="5"/>
      <c r="K29" s="5"/>
      <c r="L29" s="5"/>
      <c r="M29" s="5"/>
      <c r="N29" s="330">
        <v>1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f t="shared" si="1"/>
        <v>1</v>
      </c>
      <c r="AA29" s="5">
        <f t="shared" si="2"/>
        <v>32</v>
      </c>
    </row>
    <row r="30" spans="1:27" ht="15.75" customHeight="1">
      <c r="A30" s="108">
        <v>22</v>
      </c>
      <c r="B30" s="120" t="s">
        <v>112</v>
      </c>
      <c r="C30" s="121" t="s">
        <v>492</v>
      </c>
      <c r="D30" s="175"/>
      <c r="E30" s="161"/>
      <c r="F30" s="121"/>
      <c r="G30" s="308">
        <v>1</v>
      </c>
      <c r="H30" s="308">
        <v>1</v>
      </c>
      <c r="I30" s="308">
        <v>1</v>
      </c>
      <c r="J30" s="308">
        <v>1</v>
      </c>
      <c r="K30" s="308">
        <v>1</v>
      </c>
      <c r="L30" s="308">
        <v>1</v>
      </c>
      <c r="M30" s="308">
        <v>1</v>
      </c>
      <c r="N30" s="308">
        <v>1</v>
      </c>
      <c r="O30" s="308">
        <v>1</v>
      </c>
      <c r="P30" s="308">
        <v>1</v>
      </c>
      <c r="Q30" s="308">
        <v>1</v>
      </c>
      <c r="R30" s="308">
        <v>1</v>
      </c>
      <c r="S30" s="308">
        <v>1</v>
      </c>
      <c r="T30" s="308">
        <v>1</v>
      </c>
      <c r="U30" s="308">
        <v>1</v>
      </c>
      <c r="V30" s="308">
        <v>1</v>
      </c>
      <c r="W30" s="308">
        <v>1</v>
      </c>
      <c r="X30" s="308">
        <v>1</v>
      </c>
      <c r="Y30" s="308"/>
      <c r="Z30" s="5">
        <f t="shared" si="1"/>
        <v>18</v>
      </c>
      <c r="AA30" s="5">
        <f t="shared" si="2"/>
        <v>576</v>
      </c>
    </row>
    <row r="31" spans="1:27" ht="15.75" customHeight="1">
      <c r="A31" s="108">
        <v>23</v>
      </c>
      <c r="B31" s="120" t="s">
        <v>568</v>
      </c>
      <c r="C31" s="121" t="s">
        <v>497</v>
      </c>
      <c r="D31" s="175"/>
      <c r="E31" s="161"/>
      <c r="F31" s="12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5">
        <f t="shared" si="1"/>
        <v>0</v>
      </c>
      <c r="AA31" s="5">
        <f t="shared" si="2"/>
        <v>0</v>
      </c>
    </row>
    <row r="32" spans="1:27" ht="15.75" customHeight="1">
      <c r="A32" s="108">
        <v>24</v>
      </c>
      <c r="B32" s="120" t="s">
        <v>322</v>
      </c>
      <c r="C32" s="121" t="s">
        <v>501</v>
      </c>
      <c r="D32" s="176"/>
      <c r="E32" s="179"/>
      <c r="F32" s="10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205"/>
      <c r="Y32" s="205"/>
      <c r="Z32" s="5">
        <f t="shared" si="1"/>
        <v>0</v>
      </c>
      <c r="AA32" s="5">
        <f t="shared" si="2"/>
        <v>0</v>
      </c>
    </row>
    <row r="33" spans="1:27" ht="15.75" customHeight="1">
      <c r="A33" s="108">
        <v>25</v>
      </c>
      <c r="B33" s="120" t="s">
        <v>287</v>
      </c>
      <c r="C33" s="121" t="s">
        <v>21</v>
      </c>
      <c r="D33" s="115"/>
      <c r="E33" s="150"/>
      <c r="F33" s="112"/>
      <c r="G33" s="10"/>
      <c r="H33" s="262"/>
      <c r="I33" s="262"/>
      <c r="J33" s="314">
        <v>1</v>
      </c>
      <c r="K33" s="262"/>
      <c r="L33" s="262"/>
      <c r="M33" s="262"/>
      <c r="N33" s="262"/>
      <c r="O33" s="262"/>
      <c r="P33" s="262"/>
      <c r="Q33" s="262"/>
      <c r="R33" s="262"/>
      <c r="S33" s="5"/>
      <c r="T33" s="345">
        <v>1</v>
      </c>
      <c r="U33" s="263"/>
      <c r="V33" s="263"/>
      <c r="W33" s="263"/>
      <c r="X33" s="264"/>
      <c r="Y33" s="264"/>
      <c r="Z33" s="5">
        <f t="shared" si="1"/>
        <v>2</v>
      </c>
      <c r="AA33" s="5">
        <f t="shared" si="2"/>
        <v>64</v>
      </c>
    </row>
    <row r="34" spans="1:27" ht="15.75" customHeight="1">
      <c r="A34" s="108">
        <v>26</v>
      </c>
      <c r="B34" s="122" t="s">
        <v>323</v>
      </c>
      <c r="C34" s="123" t="s">
        <v>496</v>
      </c>
      <c r="D34" s="113"/>
      <c r="E34" s="67"/>
      <c r="F34" s="377" t="s">
        <v>746</v>
      </c>
      <c r="G34" s="336">
        <v>1</v>
      </c>
      <c r="H34" s="265"/>
      <c r="I34" s="265"/>
      <c r="J34" s="336">
        <v>1</v>
      </c>
      <c r="K34" s="265"/>
      <c r="L34" s="265"/>
      <c r="M34" s="265"/>
      <c r="N34" s="336">
        <v>1</v>
      </c>
      <c r="O34" s="336">
        <v>1</v>
      </c>
      <c r="P34" s="265"/>
      <c r="Q34" s="265"/>
      <c r="R34" s="265"/>
      <c r="S34" s="340">
        <v>1</v>
      </c>
      <c r="T34" s="341">
        <v>1</v>
      </c>
      <c r="U34" s="266"/>
      <c r="V34" s="266"/>
      <c r="W34" s="266"/>
      <c r="X34" s="342">
        <v>1</v>
      </c>
      <c r="Y34" s="342"/>
      <c r="Z34" s="5">
        <f t="shared" si="1"/>
        <v>7</v>
      </c>
      <c r="AA34" s="5">
        <f t="shared" si="2"/>
        <v>224</v>
      </c>
    </row>
    <row r="35" spans="1:27" ht="15.75" customHeight="1">
      <c r="A35" s="108">
        <v>27</v>
      </c>
      <c r="B35" s="124" t="s">
        <v>140</v>
      </c>
      <c r="C35" s="121" t="s">
        <v>21</v>
      </c>
      <c r="D35" s="116"/>
      <c r="E35" s="85"/>
      <c r="F35" s="50"/>
      <c r="G35" s="5"/>
      <c r="H35" s="205"/>
      <c r="I35" s="381">
        <v>1</v>
      </c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67"/>
      <c r="U35" s="267"/>
      <c r="V35" s="267"/>
      <c r="W35" s="267"/>
      <c r="X35" s="264"/>
      <c r="Y35" s="264"/>
      <c r="Z35" s="5">
        <f t="shared" si="1"/>
        <v>1</v>
      </c>
      <c r="AA35" s="5">
        <f t="shared" si="2"/>
        <v>32</v>
      </c>
    </row>
    <row r="36" spans="1:27" ht="15.75" customHeight="1">
      <c r="A36" s="108">
        <v>28</v>
      </c>
      <c r="B36" s="124" t="s">
        <v>324</v>
      </c>
      <c r="C36" s="121" t="s">
        <v>21</v>
      </c>
      <c r="D36" s="113"/>
      <c r="E36" s="69"/>
      <c r="F36" s="224"/>
      <c r="G36" s="345">
        <v>1</v>
      </c>
      <c r="H36" s="342">
        <v>1</v>
      </c>
      <c r="I36" s="342">
        <v>1</v>
      </c>
      <c r="J36" s="382">
        <v>1</v>
      </c>
      <c r="K36" s="342">
        <v>1</v>
      </c>
      <c r="L36" s="342">
        <v>1</v>
      </c>
      <c r="M36" s="342">
        <v>1</v>
      </c>
      <c r="N36" s="342">
        <v>1</v>
      </c>
      <c r="O36" s="342">
        <v>1</v>
      </c>
      <c r="P36" s="342">
        <v>1</v>
      </c>
      <c r="Q36" s="342">
        <v>1</v>
      </c>
      <c r="R36" s="342">
        <v>1</v>
      </c>
      <c r="S36" s="342">
        <v>1</v>
      </c>
      <c r="T36" s="367">
        <v>1</v>
      </c>
      <c r="U36" s="367">
        <v>1</v>
      </c>
      <c r="V36" s="367">
        <v>1</v>
      </c>
      <c r="W36" s="367">
        <v>1</v>
      </c>
      <c r="X36" s="339">
        <v>1</v>
      </c>
      <c r="Y36" s="339"/>
      <c r="Z36" s="5">
        <f t="shared" si="1"/>
        <v>18</v>
      </c>
      <c r="AA36" s="5">
        <f t="shared" si="2"/>
        <v>576</v>
      </c>
    </row>
    <row r="37" spans="1:27" ht="15.75" customHeight="1">
      <c r="A37" s="108">
        <v>29</v>
      </c>
      <c r="B37" s="124" t="s">
        <v>143</v>
      </c>
      <c r="C37" s="121" t="s">
        <v>498</v>
      </c>
      <c r="D37" s="113"/>
      <c r="E37" s="69"/>
      <c r="F37" s="50"/>
      <c r="G37" s="345">
        <v>1</v>
      </c>
      <c r="H37" s="264"/>
      <c r="I37" s="264"/>
      <c r="J37" s="264"/>
      <c r="K37" s="264"/>
      <c r="L37" s="342">
        <v>1</v>
      </c>
      <c r="M37" s="264"/>
      <c r="N37" s="264"/>
      <c r="O37" s="342">
        <v>1</v>
      </c>
      <c r="P37" s="264"/>
      <c r="Q37" s="264"/>
      <c r="R37" s="264"/>
      <c r="S37" s="264"/>
      <c r="T37" s="422">
        <v>1</v>
      </c>
      <c r="U37" s="268"/>
      <c r="V37" s="268"/>
      <c r="W37" s="367">
        <v>1</v>
      </c>
      <c r="X37" s="264"/>
      <c r="Y37" s="264"/>
      <c r="Z37" s="5">
        <f t="shared" si="1"/>
        <v>5</v>
      </c>
      <c r="AA37" s="5">
        <f t="shared" si="2"/>
        <v>160</v>
      </c>
    </row>
    <row r="38" spans="1:27" s="92" customFormat="1" ht="15.75" customHeight="1">
      <c r="A38" s="108">
        <v>30</v>
      </c>
      <c r="B38" s="124" t="s">
        <v>276</v>
      </c>
      <c r="C38" s="121" t="s">
        <v>501</v>
      </c>
      <c r="D38" s="113"/>
      <c r="E38" s="69"/>
      <c r="F38" s="50"/>
      <c r="G38" s="5"/>
      <c r="H38" s="266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340">
        <v>1</v>
      </c>
      <c r="T38" s="266"/>
      <c r="U38" s="266"/>
      <c r="V38" s="266"/>
      <c r="W38" s="266"/>
      <c r="X38" s="264"/>
      <c r="Y38" s="264"/>
      <c r="Z38" s="5">
        <f t="shared" si="1"/>
        <v>1</v>
      </c>
      <c r="AA38" s="5">
        <f t="shared" si="2"/>
        <v>32</v>
      </c>
    </row>
    <row r="39" spans="1:27" s="92" customFormat="1" ht="15.75" customHeight="1">
      <c r="A39" s="108">
        <v>31</v>
      </c>
      <c r="B39" s="124" t="s">
        <v>577</v>
      </c>
      <c r="C39" s="121" t="s">
        <v>21</v>
      </c>
      <c r="D39" s="113"/>
      <c r="E39" s="69"/>
      <c r="F39" s="50"/>
      <c r="G39" s="318">
        <v>1</v>
      </c>
      <c r="H39" s="345">
        <v>1</v>
      </c>
      <c r="I39" s="106"/>
      <c r="J39" s="106"/>
      <c r="K39" s="106"/>
      <c r="L39" s="106"/>
      <c r="M39" s="342">
        <v>1</v>
      </c>
      <c r="N39" s="342">
        <v>1</v>
      </c>
      <c r="O39" s="342">
        <v>1</v>
      </c>
      <c r="P39" s="342">
        <v>1</v>
      </c>
      <c r="Q39" s="342">
        <v>1</v>
      </c>
      <c r="R39" s="342">
        <v>1</v>
      </c>
      <c r="S39" s="318">
        <v>1</v>
      </c>
      <c r="T39" s="318">
        <v>1</v>
      </c>
      <c r="U39" s="318">
        <v>1</v>
      </c>
      <c r="V39" s="330">
        <v>1</v>
      </c>
      <c r="W39" s="330">
        <v>1</v>
      </c>
      <c r="X39" s="513">
        <v>1</v>
      </c>
      <c r="Y39" s="221"/>
      <c r="Z39" s="5">
        <f t="shared" si="1"/>
        <v>14</v>
      </c>
      <c r="AA39" s="5">
        <f t="shared" si="2"/>
        <v>448</v>
      </c>
    </row>
    <row r="40" spans="1:27" ht="15.75" customHeight="1">
      <c r="A40" s="108">
        <v>32</v>
      </c>
      <c r="B40" s="120" t="s">
        <v>125</v>
      </c>
      <c r="C40" s="121" t="s">
        <v>50</v>
      </c>
      <c r="D40" s="113"/>
      <c r="E40" s="69"/>
      <c r="F40" s="50"/>
      <c r="G40" s="5"/>
      <c r="H40" s="263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5"/>
      <c r="T40" s="5"/>
      <c r="U40" s="5"/>
      <c r="V40" s="5"/>
      <c r="W40" s="5"/>
      <c r="X40" s="5"/>
      <c r="Y40" s="5"/>
      <c r="Z40" s="5">
        <f t="shared" si="1"/>
        <v>0</v>
      </c>
      <c r="AA40" s="5">
        <f t="shared" si="2"/>
        <v>0</v>
      </c>
    </row>
    <row r="41" spans="1:27" ht="15.75" customHeight="1">
      <c r="A41" s="108">
        <v>33</v>
      </c>
      <c r="B41" s="120" t="s">
        <v>325</v>
      </c>
      <c r="C41" s="121" t="s">
        <v>21</v>
      </c>
      <c r="D41" s="113"/>
      <c r="E41" s="69"/>
      <c r="F41" s="374" t="s">
        <v>764</v>
      </c>
      <c r="G41" s="318">
        <v>1</v>
      </c>
      <c r="H41" s="364"/>
      <c r="I41" s="342">
        <v>1</v>
      </c>
      <c r="J41" s="342">
        <v>1</v>
      </c>
      <c r="K41" s="106"/>
      <c r="L41" s="342">
        <v>1</v>
      </c>
      <c r="M41" s="342">
        <v>1</v>
      </c>
      <c r="N41" s="342">
        <v>1</v>
      </c>
      <c r="O41" s="339">
        <v>1</v>
      </c>
      <c r="P41" s="383"/>
      <c r="Q41" s="339">
        <v>1</v>
      </c>
      <c r="R41" s="106"/>
      <c r="S41" s="330">
        <v>1</v>
      </c>
      <c r="T41" s="330">
        <v>1</v>
      </c>
      <c r="U41" s="330">
        <v>1</v>
      </c>
      <c r="V41" s="330">
        <v>0</v>
      </c>
      <c r="W41" s="330">
        <v>1</v>
      </c>
      <c r="X41" s="330">
        <v>1</v>
      </c>
      <c r="Y41" s="330"/>
      <c r="Z41" s="5">
        <f t="shared" si="1"/>
        <v>13</v>
      </c>
      <c r="AA41" s="5">
        <f t="shared" si="2"/>
        <v>416</v>
      </c>
    </row>
    <row r="42" spans="1:27" ht="15.75" customHeight="1">
      <c r="A42" s="108">
        <v>34</v>
      </c>
      <c r="B42" s="120" t="s">
        <v>557</v>
      </c>
      <c r="C42" s="121" t="s">
        <v>498</v>
      </c>
      <c r="D42" s="113"/>
      <c r="E42" s="69"/>
      <c r="F42" s="50"/>
      <c r="G42" s="318">
        <v>1</v>
      </c>
      <c r="H42" s="345">
        <v>1</v>
      </c>
      <c r="I42" s="342">
        <v>1</v>
      </c>
      <c r="J42" s="342">
        <v>1</v>
      </c>
      <c r="K42" s="342">
        <v>1</v>
      </c>
      <c r="L42" s="342">
        <v>1</v>
      </c>
      <c r="M42" s="342">
        <v>1</v>
      </c>
      <c r="N42" s="342">
        <v>1</v>
      </c>
      <c r="O42" s="106"/>
      <c r="P42" s="383"/>
      <c r="Q42" s="106"/>
      <c r="R42" s="106"/>
      <c r="S42" s="50"/>
      <c r="T42" s="50"/>
      <c r="U42" s="50"/>
      <c r="V42" s="50"/>
      <c r="W42" s="50"/>
      <c r="X42" s="50"/>
      <c r="Y42" s="50"/>
      <c r="Z42" s="5">
        <f t="shared" si="1"/>
        <v>8</v>
      </c>
      <c r="AA42" s="5">
        <f t="shared" si="2"/>
        <v>256</v>
      </c>
    </row>
    <row r="43" spans="1:27" ht="15.75" customHeight="1">
      <c r="A43" s="108">
        <v>35</v>
      </c>
      <c r="B43" s="120" t="s">
        <v>660</v>
      </c>
      <c r="C43" s="121" t="s">
        <v>498</v>
      </c>
      <c r="D43" s="113"/>
      <c r="E43" s="69"/>
      <c r="F43" s="50"/>
      <c r="G43" s="318">
        <v>1</v>
      </c>
      <c r="H43" s="263"/>
      <c r="I43" s="264"/>
      <c r="J43" s="342">
        <v>1</v>
      </c>
      <c r="K43" s="264"/>
      <c r="L43" s="264"/>
      <c r="M43" s="264"/>
      <c r="N43" s="264"/>
      <c r="O43" s="264"/>
      <c r="P43" s="270"/>
      <c r="Q43" s="264"/>
      <c r="R43" s="264"/>
      <c r="S43" s="5"/>
      <c r="T43" s="318">
        <v>1</v>
      </c>
      <c r="U43" s="5"/>
      <c r="V43" s="5"/>
      <c r="W43" s="5"/>
      <c r="X43" s="5"/>
      <c r="Y43" s="5"/>
      <c r="Z43" s="5">
        <f t="shared" si="1"/>
        <v>3</v>
      </c>
      <c r="AA43" s="5">
        <f t="shared" si="2"/>
        <v>96</v>
      </c>
    </row>
    <row r="44" spans="1:27" ht="15.75" customHeight="1">
      <c r="A44" s="108">
        <v>36</v>
      </c>
      <c r="B44" s="120" t="s">
        <v>182</v>
      </c>
      <c r="C44" s="121" t="s">
        <v>501</v>
      </c>
      <c r="D44" s="113"/>
      <c r="E44" s="69"/>
      <c r="F44" s="394" t="s">
        <v>774</v>
      </c>
      <c r="G44" s="330">
        <v>1</v>
      </c>
      <c r="H44" s="338">
        <v>1</v>
      </c>
      <c r="I44" s="339">
        <v>1</v>
      </c>
      <c r="J44" s="339">
        <v>1</v>
      </c>
      <c r="K44" s="339">
        <v>1</v>
      </c>
      <c r="L44" s="339">
        <v>1</v>
      </c>
      <c r="M44" s="339">
        <v>1</v>
      </c>
      <c r="N44" s="339">
        <v>1</v>
      </c>
      <c r="O44" s="339">
        <v>1</v>
      </c>
      <c r="P44" s="339">
        <v>1</v>
      </c>
      <c r="Q44" s="339">
        <v>1</v>
      </c>
      <c r="R44" s="339">
        <v>1</v>
      </c>
      <c r="S44" s="330">
        <v>1</v>
      </c>
      <c r="T44" s="330">
        <v>1</v>
      </c>
      <c r="U44" s="330">
        <v>1</v>
      </c>
      <c r="V44" s="330">
        <v>1</v>
      </c>
      <c r="W44" s="330">
        <v>1</v>
      </c>
      <c r="X44" s="330">
        <v>1</v>
      </c>
      <c r="Y44" s="330"/>
      <c r="Z44" s="5">
        <f t="shared" si="1"/>
        <v>18</v>
      </c>
      <c r="AA44" s="5">
        <f t="shared" si="2"/>
        <v>576</v>
      </c>
    </row>
    <row r="45" spans="1:27" ht="15.75" customHeight="1">
      <c r="A45" s="108">
        <v>37</v>
      </c>
      <c r="B45" s="120" t="s">
        <v>619</v>
      </c>
      <c r="C45" s="121"/>
      <c r="D45" s="113"/>
      <c r="E45" s="69"/>
      <c r="F45" s="50"/>
      <c r="G45" s="271"/>
      <c r="H45" s="272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71"/>
      <c r="T45" s="271"/>
      <c r="U45" s="271"/>
      <c r="V45" s="271"/>
      <c r="W45" s="271"/>
      <c r="X45" s="271"/>
      <c r="Y45" s="271"/>
      <c r="Z45" s="5">
        <f t="shared" si="1"/>
        <v>0</v>
      </c>
      <c r="AA45" s="5">
        <f t="shared" si="2"/>
        <v>0</v>
      </c>
    </row>
    <row r="46" spans="1:27" ht="15.75" customHeight="1">
      <c r="A46" s="108">
        <v>38</v>
      </c>
      <c r="B46" s="120" t="s">
        <v>326</v>
      </c>
      <c r="C46" s="121" t="s">
        <v>64</v>
      </c>
      <c r="D46" s="113"/>
      <c r="E46" s="69"/>
      <c r="F46" s="57"/>
      <c r="G46" s="332">
        <v>1</v>
      </c>
      <c r="H46" s="332">
        <v>1</v>
      </c>
      <c r="I46" s="337">
        <v>1</v>
      </c>
      <c r="J46" s="337">
        <v>1</v>
      </c>
      <c r="K46" s="337">
        <v>1</v>
      </c>
      <c r="L46" s="337">
        <v>1</v>
      </c>
      <c r="M46" s="337">
        <v>1</v>
      </c>
      <c r="N46" s="337">
        <v>1</v>
      </c>
      <c r="O46" s="337">
        <v>1</v>
      </c>
      <c r="P46" s="337">
        <v>1</v>
      </c>
      <c r="Q46" s="337">
        <v>1</v>
      </c>
      <c r="R46" s="415"/>
      <c r="S46" s="332">
        <v>1</v>
      </c>
      <c r="T46" s="332">
        <v>1</v>
      </c>
      <c r="U46" s="332">
        <v>1</v>
      </c>
      <c r="V46" s="332">
        <v>1</v>
      </c>
      <c r="W46" s="333">
        <v>0</v>
      </c>
      <c r="X46" s="332">
        <v>1</v>
      </c>
      <c r="Y46" s="332"/>
      <c r="Z46" s="5">
        <f t="shared" si="1"/>
        <v>16</v>
      </c>
      <c r="AA46" s="5">
        <f t="shared" si="2"/>
        <v>512</v>
      </c>
    </row>
    <row r="47" spans="1:27" ht="15.75" customHeight="1">
      <c r="A47" s="108">
        <v>39</v>
      </c>
      <c r="B47" s="120" t="s">
        <v>177</v>
      </c>
      <c r="C47" s="121" t="s">
        <v>492</v>
      </c>
      <c r="D47" s="113"/>
      <c r="E47" s="67"/>
      <c r="F47" s="173" t="s">
        <v>774</v>
      </c>
      <c r="G47" s="307">
        <v>1</v>
      </c>
      <c r="H47" s="307">
        <v>1</v>
      </c>
      <c r="I47" s="307">
        <v>1</v>
      </c>
      <c r="J47" s="307">
        <v>1</v>
      </c>
      <c r="K47" s="307">
        <v>1</v>
      </c>
      <c r="L47" s="307">
        <v>1</v>
      </c>
      <c r="M47" s="307">
        <v>1</v>
      </c>
      <c r="N47" s="307">
        <v>1</v>
      </c>
      <c r="O47" s="307">
        <v>1</v>
      </c>
      <c r="P47" s="307">
        <v>1</v>
      </c>
      <c r="Q47" s="307">
        <v>1</v>
      </c>
      <c r="R47" s="307">
        <v>1</v>
      </c>
      <c r="S47" s="307">
        <v>1</v>
      </c>
      <c r="T47" s="307">
        <v>1</v>
      </c>
      <c r="U47" s="307">
        <v>1</v>
      </c>
      <c r="V47" s="307">
        <v>1</v>
      </c>
      <c r="W47" s="307">
        <v>1</v>
      </c>
      <c r="X47" s="307">
        <v>1</v>
      </c>
      <c r="Y47" s="307"/>
      <c r="Z47" s="5">
        <f t="shared" si="1"/>
        <v>18</v>
      </c>
      <c r="AA47" s="5">
        <f t="shared" si="2"/>
        <v>576</v>
      </c>
    </row>
    <row r="48" spans="1:27" ht="15.75" customHeight="1">
      <c r="A48" s="108">
        <v>40</v>
      </c>
      <c r="B48" s="125" t="s">
        <v>66</v>
      </c>
      <c r="C48" s="126" t="s">
        <v>497</v>
      </c>
      <c r="D48" s="113"/>
      <c r="E48" s="69"/>
      <c r="F48" s="57"/>
      <c r="G48" s="318">
        <v>1</v>
      </c>
      <c r="H48" s="318">
        <v>1</v>
      </c>
      <c r="I48" s="318">
        <v>1</v>
      </c>
      <c r="J48" s="318">
        <v>1</v>
      </c>
      <c r="K48" s="318">
        <v>1</v>
      </c>
      <c r="L48" s="318">
        <v>1</v>
      </c>
      <c r="M48" s="318">
        <v>1</v>
      </c>
      <c r="N48" s="318">
        <v>1</v>
      </c>
      <c r="O48" s="318">
        <v>1</v>
      </c>
      <c r="P48" s="318">
        <v>1</v>
      </c>
      <c r="Q48" s="318">
        <v>1</v>
      </c>
      <c r="R48" s="318">
        <v>1</v>
      </c>
      <c r="S48" s="318">
        <v>1</v>
      </c>
      <c r="T48" s="318">
        <v>1</v>
      </c>
      <c r="U48" s="318">
        <v>1</v>
      </c>
      <c r="V48" s="318">
        <v>1</v>
      </c>
      <c r="W48" s="318">
        <v>1</v>
      </c>
      <c r="X48" s="318">
        <v>1</v>
      </c>
      <c r="Y48" s="318"/>
      <c r="Z48" s="5">
        <f t="shared" si="1"/>
        <v>18</v>
      </c>
      <c r="AA48" s="5">
        <f t="shared" si="2"/>
        <v>576</v>
      </c>
    </row>
    <row r="49" spans="1:27" ht="15.75" customHeight="1">
      <c r="A49" s="108">
        <v>41</v>
      </c>
      <c r="B49" s="120" t="s">
        <v>230</v>
      </c>
      <c r="C49" s="121" t="s">
        <v>50</v>
      </c>
      <c r="D49" s="113"/>
      <c r="E49" s="69"/>
      <c r="F49" s="86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5"/>
      <c r="T49" s="5"/>
      <c r="U49" s="5"/>
      <c r="V49" s="5"/>
      <c r="W49" s="5"/>
      <c r="X49" s="5"/>
      <c r="Y49" s="5"/>
      <c r="Z49" s="5">
        <f t="shared" si="1"/>
        <v>0</v>
      </c>
      <c r="AA49" s="5">
        <f t="shared" si="2"/>
        <v>0</v>
      </c>
    </row>
    <row r="50" spans="1:27" ht="15" customHeight="1">
      <c r="A50" s="108">
        <v>42</v>
      </c>
      <c r="B50" s="120" t="s">
        <v>49</v>
      </c>
      <c r="C50" s="121" t="s">
        <v>497</v>
      </c>
      <c r="D50" s="113"/>
      <c r="E50" s="69"/>
      <c r="F50" s="50"/>
      <c r="G50" s="318">
        <v>1</v>
      </c>
      <c r="H50" s="318">
        <v>1</v>
      </c>
      <c r="I50" s="318">
        <v>1</v>
      </c>
      <c r="J50" s="318">
        <v>1</v>
      </c>
      <c r="K50" s="318">
        <v>1</v>
      </c>
      <c r="L50" s="318">
        <v>1</v>
      </c>
      <c r="M50" s="318">
        <v>1</v>
      </c>
      <c r="N50" s="318">
        <v>1</v>
      </c>
      <c r="O50" s="318">
        <v>1</v>
      </c>
      <c r="P50" s="318">
        <v>1</v>
      </c>
      <c r="Q50" s="318">
        <v>1</v>
      </c>
      <c r="R50" s="318">
        <v>1</v>
      </c>
      <c r="S50" s="318">
        <v>1</v>
      </c>
      <c r="T50" s="318">
        <v>1</v>
      </c>
      <c r="U50" s="318">
        <v>1</v>
      </c>
      <c r="V50" s="318">
        <v>1</v>
      </c>
      <c r="W50" s="318">
        <v>1</v>
      </c>
      <c r="X50" s="318">
        <v>1</v>
      </c>
      <c r="Y50" s="330"/>
      <c r="Z50" s="5">
        <f t="shared" si="1"/>
        <v>18</v>
      </c>
      <c r="AA50" s="5">
        <f t="shared" si="2"/>
        <v>576</v>
      </c>
    </row>
    <row r="51" spans="1:27" ht="15.75" customHeight="1">
      <c r="A51" s="108">
        <v>43</v>
      </c>
      <c r="B51" s="120" t="s">
        <v>126</v>
      </c>
      <c r="C51" s="121" t="s">
        <v>64</v>
      </c>
      <c r="D51" s="114"/>
      <c r="E51" s="71"/>
      <c r="F51" s="5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f t="shared" si="1"/>
        <v>0</v>
      </c>
      <c r="AA51" s="5">
        <f t="shared" si="2"/>
        <v>0</v>
      </c>
    </row>
    <row r="52" spans="1:27" ht="15.75" customHeight="1">
      <c r="A52" s="108">
        <v>44</v>
      </c>
      <c r="B52" s="120" t="s">
        <v>327</v>
      </c>
      <c r="C52" s="121" t="s">
        <v>492</v>
      </c>
      <c r="D52" s="114"/>
      <c r="E52" s="71"/>
      <c r="F52" s="216" t="s">
        <v>797</v>
      </c>
      <c r="G52" s="308">
        <v>1</v>
      </c>
      <c r="H52" s="308">
        <v>1</v>
      </c>
      <c r="I52" s="308">
        <v>1</v>
      </c>
      <c r="J52" s="308">
        <v>1</v>
      </c>
      <c r="K52" s="336">
        <v>1</v>
      </c>
      <c r="L52" s="336">
        <v>1</v>
      </c>
      <c r="M52" s="336">
        <v>1</v>
      </c>
      <c r="N52" s="336">
        <v>1</v>
      </c>
      <c r="O52" s="336">
        <v>1</v>
      </c>
      <c r="P52" s="308">
        <v>1</v>
      </c>
      <c r="Q52" s="308">
        <v>1</v>
      </c>
      <c r="R52" s="308">
        <v>1</v>
      </c>
      <c r="S52" s="308">
        <v>1</v>
      </c>
      <c r="T52" s="308">
        <v>1</v>
      </c>
      <c r="U52" s="308">
        <v>1</v>
      </c>
      <c r="V52" s="308">
        <v>1</v>
      </c>
      <c r="W52" s="308">
        <v>1</v>
      </c>
      <c r="X52" s="308">
        <v>1</v>
      </c>
      <c r="Y52" s="308"/>
      <c r="Z52" s="5">
        <f t="shared" si="1"/>
        <v>18</v>
      </c>
      <c r="AA52" s="5">
        <f t="shared" si="2"/>
        <v>576</v>
      </c>
    </row>
    <row r="53" spans="1:27" ht="15.75" customHeight="1">
      <c r="A53" s="108">
        <v>45</v>
      </c>
      <c r="B53" s="120" t="s">
        <v>105</v>
      </c>
      <c r="C53" s="121" t="s">
        <v>496</v>
      </c>
      <c r="D53" s="113"/>
      <c r="E53" s="69"/>
      <c r="F53" s="142" t="s">
        <v>636</v>
      </c>
      <c r="G53" s="329">
        <v>1</v>
      </c>
      <c r="H53" s="329">
        <v>1</v>
      </c>
      <c r="I53" s="329">
        <v>1</v>
      </c>
      <c r="J53" s="329">
        <v>1</v>
      </c>
      <c r="K53" s="328">
        <v>1</v>
      </c>
      <c r="L53" s="328">
        <v>1</v>
      </c>
      <c r="M53" s="328">
        <v>1</v>
      </c>
      <c r="N53" s="328">
        <v>1</v>
      </c>
      <c r="O53" s="328">
        <v>1</v>
      </c>
      <c r="P53" s="329">
        <v>1</v>
      </c>
      <c r="Q53" s="329">
        <v>1</v>
      </c>
      <c r="R53" s="329">
        <v>1</v>
      </c>
      <c r="S53" s="329">
        <v>1</v>
      </c>
      <c r="T53" s="329">
        <v>1</v>
      </c>
      <c r="U53" s="329">
        <v>1</v>
      </c>
      <c r="V53" s="329">
        <v>1</v>
      </c>
      <c r="W53" s="329">
        <v>1</v>
      </c>
      <c r="X53" s="329">
        <v>1</v>
      </c>
      <c r="Y53" s="329"/>
      <c r="Z53" s="5">
        <f t="shared" si="1"/>
        <v>18</v>
      </c>
      <c r="AA53" s="5">
        <f t="shared" si="2"/>
        <v>576</v>
      </c>
    </row>
    <row r="54" spans="1:27" ht="15.75" customHeight="1">
      <c r="A54" s="108">
        <v>46</v>
      </c>
      <c r="B54" s="120" t="s">
        <v>81</v>
      </c>
      <c r="C54" s="121" t="s">
        <v>492</v>
      </c>
      <c r="D54" s="113"/>
      <c r="E54" s="69"/>
      <c r="F54" s="57"/>
      <c r="G54" s="318">
        <v>1</v>
      </c>
      <c r="H54" s="318">
        <v>1</v>
      </c>
      <c r="I54" s="318">
        <v>1</v>
      </c>
      <c r="J54" s="318">
        <v>1</v>
      </c>
      <c r="K54" s="318">
        <v>1</v>
      </c>
      <c r="L54" s="318">
        <v>1</v>
      </c>
      <c r="M54" s="318">
        <v>1</v>
      </c>
      <c r="N54" s="318">
        <v>1</v>
      </c>
      <c r="O54" s="318">
        <v>1</v>
      </c>
      <c r="P54" s="318">
        <v>1</v>
      </c>
      <c r="Q54" s="318">
        <v>1</v>
      </c>
      <c r="R54" s="318">
        <v>1</v>
      </c>
      <c r="S54" s="318">
        <v>1</v>
      </c>
      <c r="T54" s="318">
        <v>1</v>
      </c>
      <c r="U54" s="318">
        <v>1</v>
      </c>
      <c r="V54" s="318">
        <v>1</v>
      </c>
      <c r="W54" s="318">
        <v>1</v>
      </c>
      <c r="X54" s="318">
        <v>1</v>
      </c>
      <c r="Y54" s="318"/>
      <c r="Z54" s="5">
        <f t="shared" si="1"/>
        <v>18</v>
      </c>
      <c r="AA54" s="5">
        <f t="shared" si="2"/>
        <v>576</v>
      </c>
    </row>
    <row r="55" spans="1:27" ht="15.75" customHeight="1">
      <c r="A55" s="108">
        <v>47</v>
      </c>
      <c r="B55" s="120" t="s">
        <v>700</v>
      </c>
      <c r="C55" s="121" t="s">
        <v>701</v>
      </c>
      <c r="D55" s="113"/>
      <c r="E55" s="69"/>
      <c r="F55" s="57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>
        <f t="shared" si="1"/>
        <v>0</v>
      </c>
      <c r="AA55" s="5">
        <f t="shared" si="2"/>
        <v>0</v>
      </c>
    </row>
    <row r="56" spans="1:27" ht="15.75" customHeight="1">
      <c r="A56" s="108">
        <v>48</v>
      </c>
      <c r="B56" s="120" t="s">
        <v>286</v>
      </c>
      <c r="C56" s="121" t="s">
        <v>497</v>
      </c>
      <c r="D56" s="113"/>
      <c r="E56" s="69"/>
      <c r="F56" s="57"/>
      <c r="G56" s="318">
        <v>1</v>
      </c>
      <c r="H56" s="50"/>
      <c r="I56" s="318">
        <v>1</v>
      </c>
      <c r="J56" s="318">
        <v>1</v>
      </c>
      <c r="K56" s="50"/>
      <c r="L56" s="318">
        <v>1</v>
      </c>
      <c r="M56" s="318">
        <v>1</v>
      </c>
      <c r="N56" s="318">
        <v>1</v>
      </c>
      <c r="O56" s="318">
        <v>1</v>
      </c>
      <c r="P56" s="318">
        <v>1</v>
      </c>
      <c r="Q56" s="318">
        <v>1</v>
      </c>
      <c r="R56" s="318">
        <v>1</v>
      </c>
      <c r="S56" s="318">
        <v>1</v>
      </c>
      <c r="T56" s="330">
        <v>1</v>
      </c>
      <c r="U56" s="330">
        <v>1</v>
      </c>
      <c r="V56" s="330">
        <v>0</v>
      </c>
      <c r="W56" s="330">
        <v>1</v>
      </c>
      <c r="X56" s="330">
        <v>1</v>
      </c>
      <c r="Y56" s="330"/>
      <c r="Z56" s="5">
        <f t="shared" si="1"/>
        <v>15</v>
      </c>
      <c r="AA56" s="5">
        <f t="shared" si="2"/>
        <v>480</v>
      </c>
    </row>
    <row r="57" spans="1:27" ht="15.75" customHeight="1">
      <c r="A57" s="108">
        <v>49</v>
      </c>
      <c r="B57" s="120" t="s">
        <v>86</v>
      </c>
      <c r="C57" s="121" t="s">
        <v>496</v>
      </c>
      <c r="D57" s="114"/>
      <c r="E57" s="71"/>
      <c r="F57" s="60"/>
      <c r="G57" s="308">
        <v>1</v>
      </c>
      <c r="H57" s="308">
        <v>1</v>
      </c>
      <c r="I57" s="308">
        <v>1</v>
      </c>
      <c r="J57" s="308">
        <v>1</v>
      </c>
      <c r="K57" s="308">
        <v>1</v>
      </c>
      <c r="L57" s="308">
        <v>1</v>
      </c>
      <c r="M57" s="308">
        <v>1</v>
      </c>
      <c r="N57" s="308">
        <v>1</v>
      </c>
      <c r="O57" s="57"/>
      <c r="P57" s="308">
        <v>1</v>
      </c>
      <c r="Q57" s="308">
        <v>1</v>
      </c>
      <c r="R57" s="308">
        <v>1</v>
      </c>
      <c r="S57" s="308">
        <v>1</v>
      </c>
      <c r="T57" s="308">
        <v>1</v>
      </c>
      <c r="U57" s="308">
        <v>1</v>
      </c>
      <c r="V57" s="308">
        <v>1</v>
      </c>
      <c r="W57" s="308">
        <v>1</v>
      </c>
      <c r="X57" s="308">
        <v>1</v>
      </c>
      <c r="Y57" s="307"/>
      <c r="Z57" s="5">
        <f t="shared" si="1"/>
        <v>17</v>
      </c>
      <c r="AA57" s="5">
        <f t="shared" si="2"/>
        <v>544</v>
      </c>
    </row>
    <row r="58" spans="1:27" ht="15.75" customHeight="1">
      <c r="A58" s="108">
        <v>50</v>
      </c>
      <c r="B58" s="120" t="s">
        <v>16</v>
      </c>
      <c r="C58" s="121" t="s">
        <v>501</v>
      </c>
      <c r="D58" s="114"/>
      <c r="E58" s="71"/>
      <c r="F58" s="8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5"/>
      <c r="T58" s="5"/>
      <c r="U58" s="5"/>
      <c r="V58" s="5"/>
      <c r="W58" s="5"/>
      <c r="X58" s="5"/>
      <c r="Y58" s="5"/>
      <c r="Z58" s="5">
        <f t="shared" si="1"/>
        <v>0</v>
      </c>
      <c r="AA58" s="5">
        <f t="shared" si="2"/>
        <v>0</v>
      </c>
    </row>
    <row r="59" spans="1:27" ht="15.75" customHeight="1">
      <c r="A59" s="108">
        <v>51</v>
      </c>
      <c r="B59" s="120" t="s">
        <v>329</v>
      </c>
      <c r="C59" s="121" t="s">
        <v>21</v>
      </c>
      <c r="D59" s="113"/>
      <c r="E59" s="67"/>
      <c r="F59" s="57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5">
        <f t="shared" si="1"/>
        <v>0</v>
      </c>
      <c r="AA59" s="5">
        <f t="shared" si="2"/>
        <v>0</v>
      </c>
    </row>
    <row r="60" spans="1:27" ht="15.75" customHeight="1">
      <c r="A60" s="108">
        <v>52</v>
      </c>
      <c r="B60" s="120" t="s">
        <v>168</v>
      </c>
      <c r="C60" s="121" t="s">
        <v>50</v>
      </c>
      <c r="D60" s="113"/>
      <c r="E60" s="67"/>
      <c r="F60" s="57"/>
      <c r="G60" s="10"/>
      <c r="H60" s="10"/>
      <c r="I60" s="10"/>
      <c r="J60" s="10"/>
      <c r="K60" s="10"/>
      <c r="L60" s="10"/>
      <c r="M60" s="10"/>
      <c r="N60" s="307">
        <v>1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5">
        <f t="shared" si="1"/>
        <v>1</v>
      </c>
      <c r="AA60" s="5">
        <f t="shared" si="2"/>
        <v>32</v>
      </c>
    </row>
    <row r="61" spans="1:27" ht="15.75" customHeight="1">
      <c r="A61" s="108">
        <v>53</v>
      </c>
      <c r="B61" s="120" t="s">
        <v>248</v>
      </c>
      <c r="C61" s="121" t="s">
        <v>496</v>
      </c>
      <c r="D61" s="113"/>
      <c r="E61" s="67"/>
      <c r="F61" s="57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308">
        <v>1</v>
      </c>
      <c r="S61" s="308">
        <v>1</v>
      </c>
      <c r="T61" s="10"/>
      <c r="U61" s="10"/>
      <c r="V61" s="10"/>
      <c r="W61" s="10"/>
      <c r="X61" s="307">
        <v>1</v>
      </c>
      <c r="Y61" s="10"/>
      <c r="Z61" s="5">
        <f t="shared" si="1"/>
        <v>3</v>
      </c>
      <c r="AA61" s="5">
        <f t="shared" si="2"/>
        <v>96</v>
      </c>
    </row>
    <row r="62" spans="1:27" ht="15.75" customHeight="1">
      <c r="A62" s="108">
        <v>54</v>
      </c>
      <c r="B62" s="120" t="s">
        <v>207</v>
      </c>
      <c r="C62" s="121" t="s">
        <v>496</v>
      </c>
      <c r="D62" s="113"/>
      <c r="E62" s="67"/>
      <c r="F62" s="57"/>
      <c r="G62" s="308">
        <v>1</v>
      </c>
      <c r="H62" s="308">
        <v>1</v>
      </c>
      <c r="I62" s="308">
        <v>1</v>
      </c>
      <c r="J62" s="308">
        <v>1</v>
      </c>
      <c r="K62" s="308">
        <v>1</v>
      </c>
      <c r="L62" s="308">
        <v>1</v>
      </c>
      <c r="M62" s="308">
        <v>1</v>
      </c>
      <c r="N62" s="308">
        <v>1</v>
      </c>
      <c r="O62" s="308">
        <v>1</v>
      </c>
      <c r="P62" s="308">
        <v>1</v>
      </c>
      <c r="Q62" s="308">
        <v>1</v>
      </c>
      <c r="R62" s="308">
        <v>1</v>
      </c>
      <c r="S62" s="308">
        <v>1</v>
      </c>
      <c r="T62" s="308">
        <v>1</v>
      </c>
      <c r="U62" s="308">
        <v>1</v>
      </c>
      <c r="V62" s="308">
        <v>1</v>
      </c>
      <c r="W62" s="308">
        <v>1</v>
      </c>
      <c r="X62" s="308">
        <v>1</v>
      </c>
      <c r="Y62" s="307"/>
      <c r="Z62" s="5">
        <f t="shared" si="1"/>
        <v>18</v>
      </c>
      <c r="AA62" s="5">
        <f t="shared" si="2"/>
        <v>576</v>
      </c>
    </row>
    <row r="63" spans="1:27" ht="15.75" customHeight="1">
      <c r="A63" s="108">
        <v>55</v>
      </c>
      <c r="B63" s="120" t="s">
        <v>536</v>
      </c>
      <c r="C63" s="121" t="s">
        <v>497</v>
      </c>
      <c r="D63" s="113"/>
      <c r="E63" s="67"/>
      <c r="F63" s="57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5">
        <f t="shared" si="1"/>
        <v>0</v>
      </c>
      <c r="AA63" s="5">
        <f t="shared" si="2"/>
        <v>0</v>
      </c>
    </row>
    <row r="64" spans="1:27" ht="15.75" customHeight="1">
      <c r="A64" s="108">
        <v>56</v>
      </c>
      <c r="B64" s="120" t="s">
        <v>330</v>
      </c>
      <c r="C64" s="121" t="s">
        <v>497</v>
      </c>
      <c r="D64" s="115"/>
      <c r="E64" s="68"/>
      <c r="F64" s="48"/>
      <c r="G64" s="274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356">
        <v>1</v>
      </c>
      <c r="T64" s="275"/>
      <c r="U64" s="275"/>
      <c r="V64" s="275"/>
      <c r="W64" s="276"/>
      <c r="X64" s="275"/>
      <c r="Y64" s="275"/>
      <c r="Z64" s="5">
        <f t="shared" si="1"/>
        <v>1</v>
      </c>
      <c r="AA64" s="5">
        <f t="shared" si="2"/>
        <v>32</v>
      </c>
    </row>
    <row r="65" spans="1:27" ht="15.75" customHeight="1">
      <c r="A65" s="108">
        <v>57</v>
      </c>
      <c r="B65" s="120" t="s">
        <v>523</v>
      </c>
      <c r="C65" s="121" t="s">
        <v>520</v>
      </c>
      <c r="D65" s="113"/>
      <c r="E65" s="67"/>
      <c r="F65" s="57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5">
        <f t="shared" si="1"/>
        <v>0</v>
      </c>
      <c r="AA65" s="5">
        <f t="shared" si="2"/>
        <v>0</v>
      </c>
    </row>
    <row r="66" spans="1:27" ht="15.75" customHeight="1">
      <c r="A66" s="108">
        <v>58</v>
      </c>
      <c r="B66" s="120" t="s">
        <v>376</v>
      </c>
      <c r="C66" s="121" t="s">
        <v>520</v>
      </c>
      <c r="D66" s="113"/>
      <c r="E66" s="67"/>
      <c r="F66" s="57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5">
        <f t="shared" si="1"/>
        <v>0</v>
      </c>
      <c r="AA66" s="5">
        <f t="shared" si="2"/>
        <v>0</v>
      </c>
    </row>
    <row r="67" spans="1:27" ht="15.75" customHeight="1">
      <c r="A67" s="108">
        <v>59</v>
      </c>
      <c r="B67" s="120" t="s">
        <v>630</v>
      </c>
      <c r="C67" s="121" t="s">
        <v>496</v>
      </c>
      <c r="D67" s="113"/>
      <c r="E67" s="67"/>
      <c r="F67" s="57"/>
      <c r="G67" s="274"/>
      <c r="H67" s="348">
        <v>1</v>
      </c>
      <c r="I67" s="348">
        <v>1</v>
      </c>
      <c r="J67" s="348">
        <v>1</v>
      </c>
      <c r="K67" s="348">
        <v>1</v>
      </c>
      <c r="L67" s="348">
        <v>1</v>
      </c>
      <c r="M67" s="348">
        <v>1</v>
      </c>
      <c r="N67" s="348">
        <v>1</v>
      </c>
      <c r="O67" s="348">
        <v>1</v>
      </c>
      <c r="P67" s="348">
        <v>1</v>
      </c>
      <c r="Q67" s="348">
        <v>1</v>
      </c>
      <c r="R67" s="348">
        <v>1</v>
      </c>
      <c r="S67" s="348">
        <v>1</v>
      </c>
      <c r="T67" s="348">
        <v>1</v>
      </c>
      <c r="U67" s="348">
        <v>1</v>
      </c>
      <c r="V67" s="348">
        <v>1</v>
      </c>
      <c r="W67" s="348">
        <v>1</v>
      </c>
      <c r="X67" s="348">
        <v>1</v>
      </c>
      <c r="Y67" s="346"/>
      <c r="Z67" s="5">
        <f t="shared" si="1"/>
        <v>17</v>
      </c>
      <c r="AA67" s="5">
        <f t="shared" si="2"/>
        <v>544</v>
      </c>
    </row>
    <row r="68" spans="1:27" ht="15.75" customHeight="1">
      <c r="A68" s="108">
        <v>60</v>
      </c>
      <c r="B68" s="124" t="s">
        <v>257</v>
      </c>
      <c r="C68" s="121" t="s">
        <v>50</v>
      </c>
      <c r="D68" s="115"/>
      <c r="E68" s="68"/>
      <c r="F68" s="57"/>
      <c r="G68" s="274"/>
      <c r="H68" s="275"/>
      <c r="I68" s="275"/>
      <c r="J68" s="275"/>
      <c r="K68" s="275"/>
      <c r="L68" s="275"/>
      <c r="M68" s="356">
        <v>1</v>
      </c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5">
        <f t="shared" si="1"/>
        <v>1</v>
      </c>
      <c r="AA68" s="5">
        <f t="shared" si="2"/>
        <v>32</v>
      </c>
    </row>
    <row r="69" spans="1:27" ht="15.75" customHeight="1">
      <c r="A69" s="108">
        <v>61</v>
      </c>
      <c r="B69" s="120" t="s">
        <v>142</v>
      </c>
      <c r="C69" s="121" t="s">
        <v>64</v>
      </c>
      <c r="D69" s="113"/>
      <c r="E69" s="69"/>
      <c r="F69" s="57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05"/>
      <c r="T69" s="205"/>
      <c r="U69" s="205"/>
      <c r="V69" s="205"/>
      <c r="W69" s="205"/>
      <c r="X69" s="205"/>
      <c r="Y69" s="205"/>
      <c r="Z69" s="5">
        <f t="shared" si="1"/>
        <v>0</v>
      </c>
      <c r="AA69" s="5">
        <f t="shared" si="2"/>
        <v>0</v>
      </c>
    </row>
    <row r="70" spans="1:27" ht="15.75" customHeight="1">
      <c r="A70" s="108">
        <v>62</v>
      </c>
      <c r="B70" s="120" t="s">
        <v>17</v>
      </c>
      <c r="C70" s="121" t="s">
        <v>496</v>
      </c>
      <c r="D70" s="113"/>
      <c r="E70" s="69"/>
      <c r="F70" s="173" t="s">
        <v>802</v>
      </c>
      <c r="G70" s="331">
        <v>1</v>
      </c>
      <c r="H70" s="331">
        <v>1</v>
      </c>
      <c r="I70" s="331">
        <v>1</v>
      </c>
      <c r="J70" s="331">
        <v>1</v>
      </c>
      <c r="K70" s="331">
        <v>1</v>
      </c>
      <c r="L70" s="331">
        <v>1</v>
      </c>
      <c r="M70" s="331">
        <v>1</v>
      </c>
      <c r="N70" s="331">
        <v>1</v>
      </c>
      <c r="O70" s="271"/>
      <c r="P70" s="271"/>
      <c r="Q70" s="271"/>
      <c r="R70" s="332">
        <v>1</v>
      </c>
      <c r="S70" s="332">
        <v>1</v>
      </c>
      <c r="T70" s="331">
        <v>1</v>
      </c>
      <c r="U70" s="331">
        <v>1</v>
      </c>
      <c r="V70" s="332">
        <v>1</v>
      </c>
      <c r="W70" s="273"/>
      <c r="X70" s="271"/>
      <c r="Y70" s="271"/>
      <c r="Z70" s="5">
        <f t="shared" si="1"/>
        <v>13</v>
      </c>
      <c r="AA70" s="5">
        <f t="shared" si="2"/>
        <v>416</v>
      </c>
    </row>
    <row r="71" spans="1:27" ht="15.75" customHeight="1">
      <c r="A71" s="108">
        <v>63</v>
      </c>
      <c r="B71" s="120" t="s">
        <v>578</v>
      </c>
      <c r="C71" s="121" t="s">
        <v>496</v>
      </c>
      <c r="D71" s="113"/>
      <c r="E71" s="69"/>
      <c r="F71" s="57"/>
      <c r="G71" s="331">
        <v>1</v>
      </c>
      <c r="H71" s="331">
        <v>1</v>
      </c>
      <c r="I71" s="271"/>
      <c r="J71" s="331">
        <v>1</v>
      </c>
      <c r="K71" s="331">
        <v>1</v>
      </c>
      <c r="L71" s="331">
        <v>1</v>
      </c>
      <c r="M71" s="331">
        <v>1</v>
      </c>
      <c r="N71" s="331">
        <v>1</v>
      </c>
      <c r="O71" s="331">
        <v>1</v>
      </c>
      <c r="P71" s="331">
        <v>1</v>
      </c>
      <c r="Q71" s="331">
        <v>1</v>
      </c>
      <c r="R71" s="331">
        <v>1</v>
      </c>
      <c r="S71" s="331">
        <v>1</v>
      </c>
      <c r="T71" s="331">
        <v>1</v>
      </c>
      <c r="U71" s="331">
        <v>1</v>
      </c>
      <c r="V71" s="332">
        <v>1</v>
      </c>
      <c r="W71" s="332">
        <v>1</v>
      </c>
      <c r="X71" s="332">
        <v>1</v>
      </c>
      <c r="Y71" s="271"/>
      <c r="Z71" s="5">
        <f t="shared" si="1"/>
        <v>17</v>
      </c>
      <c r="AA71" s="5">
        <f t="shared" si="2"/>
        <v>544</v>
      </c>
    </row>
    <row r="72" spans="1:27" ht="15.75" customHeight="1">
      <c r="A72" s="108">
        <v>64</v>
      </c>
      <c r="B72" s="120" t="s">
        <v>465</v>
      </c>
      <c r="C72" s="121" t="s">
        <v>64</v>
      </c>
      <c r="D72" s="113"/>
      <c r="E72" s="69"/>
      <c r="F72" s="57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5">
        <f t="shared" si="1"/>
        <v>0</v>
      </c>
      <c r="AA72" s="5">
        <f t="shared" si="2"/>
        <v>0</v>
      </c>
    </row>
    <row r="73" spans="1:27" ht="15.75" customHeight="1">
      <c r="A73" s="108">
        <v>65</v>
      </c>
      <c r="B73" s="120" t="s">
        <v>740</v>
      </c>
      <c r="C73" s="121" t="s">
        <v>492</v>
      </c>
      <c r="D73" s="113"/>
      <c r="E73" s="69"/>
      <c r="F73" s="57"/>
      <c r="G73" s="331">
        <v>1</v>
      </c>
      <c r="H73" s="331">
        <v>1</v>
      </c>
      <c r="I73" s="331">
        <v>1</v>
      </c>
      <c r="J73" s="331">
        <v>1</v>
      </c>
      <c r="K73" s="331">
        <v>1</v>
      </c>
      <c r="L73" s="331">
        <v>1</v>
      </c>
      <c r="M73" s="331">
        <v>1</v>
      </c>
      <c r="N73" s="237"/>
      <c r="O73" s="237"/>
      <c r="P73" s="237"/>
      <c r="Q73" s="332">
        <v>1</v>
      </c>
      <c r="R73" s="332">
        <v>1</v>
      </c>
      <c r="S73" s="237"/>
      <c r="T73" s="332">
        <v>1</v>
      </c>
      <c r="U73" s="332">
        <v>1</v>
      </c>
      <c r="V73" s="332">
        <v>1</v>
      </c>
      <c r="W73" s="332">
        <v>1</v>
      </c>
      <c r="X73" s="332">
        <v>1</v>
      </c>
      <c r="Y73" s="332"/>
      <c r="Z73" s="5">
        <f t="shared" ref="Z73:Z136" si="3">+SUM(G73:Y73)</f>
        <v>14</v>
      </c>
      <c r="AA73" s="5">
        <f t="shared" ref="AA73:AA136" si="4">+Z73*32</f>
        <v>448</v>
      </c>
    </row>
    <row r="74" spans="1:27" ht="15.75" customHeight="1">
      <c r="A74" s="108">
        <v>66</v>
      </c>
      <c r="B74" s="120" t="s">
        <v>331</v>
      </c>
      <c r="C74" s="121" t="s">
        <v>50</v>
      </c>
      <c r="D74" s="113"/>
      <c r="E74" s="69"/>
      <c r="F74" s="57"/>
      <c r="G74" s="10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05"/>
      <c r="T74" s="205"/>
      <c r="U74" s="205"/>
      <c r="V74" s="205"/>
      <c r="W74" s="205"/>
      <c r="X74" s="205"/>
      <c r="Y74" s="205"/>
      <c r="Z74" s="5">
        <f t="shared" si="3"/>
        <v>0</v>
      </c>
      <c r="AA74" s="5">
        <f t="shared" si="4"/>
        <v>0</v>
      </c>
    </row>
    <row r="75" spans="1:27" ht="15.75" customHeight="1">
      <c r="A75" s="108">
        <v>67</v>
      </c>
      <c r="B75" s="120" t="s">
        <v>332</v>
      </c>
      <c r="C75" s="121" t="s">
        <v>50</v>
      </c>
      <c r="D75" s="113"/>
      <c r="E75" s="69"/>
      <c r="F75" s="57"/>
      <c r="G75" s="10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05"/>
      <c r="T75" s="205"/>
      <c r="U75" s="205"/>
      <c r="V75" s="205"/>
      <c r="W75" s="205"/>
      <c r="X75" s="205"/>
      <c r="Y75" s="205"/>
      <c r="Z75" s="5">
        <f t="shared" si="3"/>
        <v>0</v>
      </c>
      <c r="AA75" s="5">
        <f t="shared" si="4"/>
        <v>0</v>
      </c>
    </row>
    <row r="76" spans="1:27" ht="15.75" customHeight="1">
      <c r="A76" s="108">
        <v>68</v>
      </c>
      <c r="B76" s="120" t="s">
        <v>333</v>
      </c>
      <c r="C76" s="121" t="s">
        <v>497</v>
      </c>
      <c r="D76" s="113"/>
      <c r="E76" s="69"/>
      <c r="F76" s="57"/>
      <c r="G76" s="308">
        <v>1</v>
      </c>
      <c r="H76" s="348">
        <v>1</v>
      </c>
      <c r="I76" s="348">
        <v>1</v>
      </c>
      <c r="J76" s="348">
        <v>1</v>
      </c>
      <c r="K76" s="348">
        <v>1</v>
      </c>
      <c r="L76" s="348">
        <v>1</v>
      </c>
      <c r="M76" s="348">
        <v>1</v>
      </c>
      <c r="N76" s="348">
        <v>1</v>
      </c>
      <c r="O76" s="348">
        <v>1</v>
      </c>
      <c r="P76" s="348">
        <v>1</v>
      </c>
      <c r="Q76" s="348">
        <v>1</v>
      </c>
      <c r="R76" s="348">
        <v>1</v>
      </c>
      <c r="S76" s="381">
        <v>1</v>
      </c>
      <c r="T76" s="381">
        <v>1</v>
      </c>
      <c r="U76" s="381">
        <v>1</v>
      </c>
      <c r="V76" s="381">
        <v>1</v>
      </c>
      <c r="W76" s="421">
        <v>1</v>
      </c>
      <c r="X76" s="381">
        <v>1</v>
      </c>
      <c r="Y76" s="347"/>
      <c r="Z76" s="5">
        <f t="shared" si="3"/>
        <v>18</v>
      </c>
      <c r="AA76" s="5">
        <f t="shared" si="4"/>
        <v>576</v>
      </c>
    </row>
    <row r="77" spans="1:27" ht="15.75" customHeight="1">
      <c r="A77" s="108">
        <v>69</v>
      </c>
      <c r="B77" s="120" t="s">
        <v>538</v>
      </c>
      <c r="C77" s="121" t="s">
        <v>501</v>
      </c>
      <c r="D77" s="113"/>
      <c r="E77" s="69"/>
      <c r="F77" s="142" t="s">
        <v>636</v>
      </c>
      <c r="G77" s="334">
        <v>1</v>
      </c>
      <c r="H77" s="334">
        <v>1</v>
      </c>
      <c r="I77" s="334">
        <v>1</v>
      </c>
      <c r="J77" s="334">
        <v>1</v>
      </c>
      <c r="K77" s="334">
        <v>1</v>
      </c>
      <c r="L77" s="334">
        <v>1</v>
      </c>
      <c r="M77" s="334">
        <v>1</v>
      </c>
      <c r="N77" s="334">
        <v>1</v>
      </c>
      <c r="O77" s="334">
        <v>1</v>
      </c>
      <c r="P77" s="334">
        <v>1</v>
      </c>
      <c r="Q77" s="334">
        <v>1</v>
      </c>
      <c r="R77" s="334">
        <v>1</v>
      </c>
      <c r="S77" s="335">
        <v>1</v>
      </c>
      <c r="T77" s="335">
        <v>1</v>
      </c>
      <c r="U77" s="335">
        <v>1</v>
      </c>
      <c r="V77" s="335">
        <v>1</v>
      </c>
      <c r="W77" s="335">
        <v>1</v>
      </c>
      <c r="X77" s="335">
        <v>1</v>
      </c>
      <c r="Y77" s="335"/>
      <c r="Z77" s="5">
        <f t="shared" si="3"/>
        <v>18</v>
      </c>
      <c r="AA77" s="5">
        <f t="shared" si="4"/>
        <v>576</v>
      </c>
    </row>
    <row r="78" spans="1:27" ht="15.75" customHeight="1">
      <c r="A78" s="108">
        <v>70</v>
      </c>
      <c r="B78" s="120" t="s">
        <v>334</v>
      </c>
      <c r="C78" s="121" t="s">
        <v>496</v>
      </c>
      <c r="D78" s="113"/>
      <c r="E78" s="69"/>
      <c r="F78" s="104"/>
      <c r="G78" s="277"/>
      <c r="H78" s="274"/>
      <c r="I78" s="274"/>
      <c r="J78" s="274"/>
      <c r="K78" s="274"/>
      <c r="L78" s="274"/>
      <c r="M78" s="274"/>
      <c r="N78" s="274"/>
      <c r="O78" s="274"/>
      <c r="P78" s="274"/>
      <c r="Q78" s="348">
        <v>1</v>
      </c>
      <c r="R78" s="348">
        <v>1</v>
      </c>
      <c r="S78" s="381">
        <v>1</v>
      </c>
      <c r="T78" s="381">
        <v>1</v>
      </c>
      <c r="U78" s="381">
        <v>1</v>
      </c>
      <c r="V78" s="381">
        <v>1</v>
      </c>
      <c r="W78" s="421">
        <v>1</v>
      </c>
      <c r="X78" s="381">
        <v>1</v>
      </c>
      <c r="Y78" s="205"/>
      <c r="Z78" s="5">
        <f t="shared" si="3"/>
        <v>8</v>
      </c>
      <c r="AA78" s="5">
        <f t="shared" si="4"/>
        <v>256</v>
      </c>
    </row>
    <row r="79" spans="1:27" ht="15.75" customHeight="1">
      <c r="A79" s="108">
        <v>71</v>
      </c>
      <c r="B79" s="120" t="s">
        <v>231</v>
      </c>
      <c r="C79" s="121" t="s">
        <v>21</v>
      </c>
      <c r="D79" s="116"/>
      <c r="E79" s="85"/>
      <c r="F79" s="66"/>
      <c r="G79" s="10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5">
        <f t="shared" si="3"/>
        <v>0</v>
      </c>
      <c r="AA79" s="5">
        <f t="shared" si="4"/>
        <v>0</v>
      </c>
    </row>
    <row r="80" spans="1:27" ht="15.75" customHeight="1">
      <c r="A80" s="108">
        <v>72</v>
      </c>
      <c r="B80" s="122" t="s">
        <v>135</v>
      </c>
      <c r="C80" s="123" t="s">
        <v>501</v>
      </c>
      <c r="D80" s="116"/>
      <c r="E80" s="87"/>
      <c r="F80" s="86"/>
      <c r="G80" s="331">
        <v>1</v>
      </c>
      <c r="H80" s="331">
        <v>1</v>
      </c>
      <c r="I80" s="331">
        <v>1</v>
      </c>
      <c r="J80" s="237"/>
      <c r="K80" s="237"/>
      <c r="L80" s="237"/>
      <c r="M80" s="237"/>
      <c r="N80" s="237"/>
      <c r="O80" s="331">
        <v>1</v>
      </c>
      <c r="P80" s="331">
        <v>1</v>
      </c>
      <c r="Q80" s="331">
        <v>1</v>
      </c>
      <c r="R80" s="331">
        <v>1</v>
      </c>
      <c r="S80" s="331">
        <v>1</v>
      </c>
      <c r="T80" s="237"/>
      <c r="U80" s="237"/>
      <c r="V80" s="237"/>
      <c r="W80" s="368"/>
      <c r="X80" s="237"/>
      <c r="Y80" s="332"/>
      <c r="Z80" s="5">
        <f t="shared" si="3"/>
        <v>8</v>
      </c>
      <c r="AA80" s="5">
        <f t="shared" si="4"/>
        <v>256</v>
      </c>
    </row>
    <row r="81" spans="1:27" ht="15.75" customHeight="1">
      <c r="A81" s="108">
        <v>73</v>
      </c>
      <c r="B81" s="122" t="s">
        <v>335</v>
      </c>
      <c r="C81" s="123" t="s">
        <v>50</v>
      </c>
      <c r="D81" s="113"/>
      <c r="E81" s="67"/>
      <c r="F81" s="57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3"/>
      <c r="X81" s="271"/>
      <c r="Y81" s="271"/>
      <c r="Z81" s="5">
        <f t="shared" si="3"/>
        <v>0</v>
      </c>
      <c r="AA81" s="5">
        <f t="shared" si="4"/>
        <v>0</v>
      </c>
    </row>
    <row r="82" spans="1:27" ht="15.75" customHeight="1">
      <c r="A82" s="108">
        <v>74</v>
      </c>
      <c r="B82" s="122" t="s">
        <v>683</v>
      </c>
      <c r="C82" s="123" t="s">
        <v>498</v>
      </c>
      <c r="D82" s="113"/>
      <c r="E82" s="67"/>
      <c r="F82" s="57"/>
      <c r="G82" s="331">
        <v>1</v>
      </c>
      <c r="H82" s="331">
        <v>1</v>
      </c>
      <c r="I82" s="331">
        <v>1</v>
      </c>
      <c r="J82" s="331">
        <v>1</v>
      </c>
      <c r="K82" s="331">
        <v>1</v>
      </c>
      <c r="L82" s="331">
        <v>1</v>
      </c>
      <c r="M82" s="331">
        <v>1</v>
      </c>
      <c r="N82" s="331">
        <v>1</v>
      </c>
      <c r="O82" s="331">
        <v>1</v>
      </c>
      <c r="P82" s="331">
        <v>1</v>
      </c>
      <c r="Q82" s="331">
        <v>1</v>
      </c>
      <c r="R82" s="331">
        <v>1</v>
      </c>
      <c r="S82" s="331">
        <v>1</v>
      </c>
      <c r="T82" s="237"/>
      <c r="U82" s="237"/>
      <c r="V82" s="237"/>
      <c r="W82" s="237"/>
      <c r="X82" s="237"/>
      <c r="Y82" s="237"/>
      <c r="Z82" s="5">
        <f t="shared" si="3"/>
        <v>13</v>
      </c>
      <c r="AA82" s="5">
        <f t="shared" si="4"/>
        <v>416</v>
      </c>
    </row>
    <row r="83" spans="1:27" ht="15.75" customHeight="1">
      <c r="A83" s="108">
        <v>75</v>
      </c>
      <c r="B83" s="122" t="s">
        <v>575</v>
      </c>
      <c r="C83" s="123" t="s">
        <v>21</v>
      </c>
      <c r="D83" s="113"/>
      <c r="E83" s="67"/>
      <c r="F83" s="193" t="s">
        <v>672</v>
      </c>
      <c r="G83" s="331">
        <v>1</v>
      </c>
      <c r="H83" s="331">
        <v>1</v>
      </c>
      <c r="I83" s="331">
        <v>1</v>
      </c>
      <c r="J83" s="331">
        <v>1</v>
      </c>
      <c r="K83" s="331">
        <v>1</v>
      </c>
      <c r="L83" s="331">
        <v>1</v>
      </c>
      <c r="M83" s="331">
        <v>1</v>
      </c>
      <c r="N83" s="331">
        <v>1</v>
      </c>
      <c r="O83" s="331">
        <v>1</v>
      </c>
      <c r="P83" s="331">
        <v>1</v>
      </c>
      <c r="Q83" s="331">
        <v>1</v>
      </c>
      <c r="R83" s="331">
        <v>1</v>
      </c>
      <c r="S83" s="331">
        <v>1</v>
      </c>
      <c r="T83" s="331">
        <v>1</v>
      </c>
      <c r="U83" s="331">
        <v>1</v>
      </c>
      <c r="V83" s="331">
        <v>1</v>
      </c>
      <c r="W83" s="331">
        <v>1</v>
      </c>
      <c r="X83" s="331">
        <v>1</v>
      </c>
      <c r="Y83" s="332"/>
      <c r="Z83" s="5">
        <f t="shared" si="3"/>
        <v>18</v>
      </c>
      <c r="AA83" s="5">
        <f t="shared" si="4"/>
        <v>576</v>
      </c>
    </row>
    <row r="84" spans="1:27" ht="15.75" customHeight="1">
      <c r="A84" s="108">
        <v>76</v>
      </c>
      <c r="B84" s="120" t="s">
        <v>158</v>
      </c>
      <c r="C84" s="121" t="s">
        <v>492</v>
      </c>
      <c r="D84" s="115"/>
      <c r="E84" s="68"/>
      <c r="F84" s="377" t="s">
        <v>792</v>
      </c>
      <c r="G84" s="308">
        <v>1</v>
      </c>
      <c r="H84" s="314">
        <v>1</v>
      </c>
      <c r="I84" s="314">
        <v>1</v>
      </c>
      <c r="J84" s="314">
        <v>1</v>
      </c>
      <c r="K84" s="314">
        <v>1</v>
      </c>
      <c r="L84" s="314">
        <v>1</v>
      </c>
      <c r="M84" s="314">
        <v>1</v>
      </c>
      <c r="N84" s="314">
        <v>1</v>
      </c>
      <c r="O84" s="314">
        <v>1</v>
      </c>
      <c r="P84" s="314">
        <v>1</v>
      </c>
      <c r="Q84" s="314">
        <v>1</v>
      </c>
      <c r="R84" s="314">
        <v>1</v>
      </c>
      <c r="S84" s="314">
        <v>1</v>
      </c>
      <c r="T84" s="314">
        <v>1</v>
      </c>
      <c r="U84" s="314">
        <v>0</v>
      </c>
      <c r="V84" s="314">
        <v>0</v>
      </c>
      <c r="W84" s="314">
        <v>0</v>
      </c>
      <c r="X84" s="314"/>
      <c r="Y84" s="314"/>
      <c r="Z84" s="5">
        <f t="shared" si="3"/>
        <v>14</v>
      </c>
      <c r="AA84" s="5">
        <f t="shared" si="4"/>
        <v>448</v>
      </c>
    </row>
    <row r="85" spans="1:27" ht="15.75" customHeight="1">
      <c r="A85" s="108">
        <v>77</v>
      </c>
      <c r="B85" s="120" t="s">
        <v>336</v>
      </c>
      <c r="C85" s="121" t="s">
        <v>21</v>
      </c>
      <c r="D85" s="113"/>
      <c r="E85" s="69"/>
      <c r="F85" s="57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3"/>
      <c r="X85" s="271"/>
      <c r="Y85" s="271"/>
      <c r="Z85" s="5">
        <f t="shared" si="3"/>
        <v>0</v>
      </c>
      <c r="AA85" s="5">
        <f t="shared" si="4"/>
        <v>0</v>
      </c>
    </row>
    <row r="86" spans="1:27" ht="15.75" customHeight="1">
      <c r="A86" s="108">
        <v>78</v>
      </c>
      <c r="B86" s="120" t="s">
        <v>537</v>
      </c>
      <c r="C86" s="121" t="s">
        <v>520</v>
      </c>
      <c r="D86" s="113"/>
      <c r="E86" s="69"/>
      <c r="F86" s="57"/>
      <c r="G86" s="237"/>
      <c r="H86" s="237"/>
      <c r="I86" s="237"/>
      <c r="J86" s="237"/>
      <c r="K86" s="331">
        <v>1</v>
      </c>
      <c r="L86" s="237"/>
      <c r="M86" s="331">
        <v>0</v>
      </c>
      <c r="N86" s="237"/>
      <c r="O86" s="237"/>
      <c r="P86" s="389">
        <v>1</v>
      </c>
      <c r="Q86" s="237"/>
      <c r="R86" s="331">
        <v>1</v>
      </c>
      <c r="S86" s="237"/>
      <c r="T86" s="237"/>
      <c r="U86" s="331">
        <v>1</v>
      </c>
      <c r="V86" s="332">
        <v>1</v>
      </c>
      <c r="W86" s="331">
        <v>1</v>
      </c>
      <c r="X86" s="237"/>
      <c r="Y86" s="237"/>
      <c r="Z86" s="5">
        <f t="shared" si="3"/>
        <v>6</v>
      </c>
      <c r="AA86" s="5">
        <f t="shared" si="4"/>
        <v>192</v>
      </c>
    </row>
    <row r="87" spans="1:27" ht="15.75" customHeight="1">
      <c r="A87" s="108">
        <v>79</v>
      </c>
      <c r="B87" s="120" t="s">
        <v>270</v>
      </c>
      <c r="C87" s="121" t="s">
        <v>64</v>
      </c>
      <c r="D87" s="115"/>
      <c r="E87" s="68"/>
      <c r="F87" s="55"/>
      <c r="G87" s="10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5">
        <f t="shared" si="3"/>
        <v>0</v>
      </c>
      <c r="AA87" s="5">
        <f t="shared" si="4"/>
        <v>0</v>
      </c>
    </row>
    <row r="88" spans="1:27" ht="15.75" customHeight="1">
      <c r="A88" s="108">
        <v>80</v>
      </c>
      <c r="B88" s="120" t="s">
        <v>268</v>
      </c>
      <c r="C88" s="121" t="s">
        <v>496</v>
      </c>
      <c r="D88" s="113"/>
      <c r="E88" s="69"/>
      <c r="F88" s="50"/>
      <c r="G88" s="331">
        <v>1</v>
      </c>
      <c r="H88" s="331">
        <v>1</v>
      </c>
      <c r="I88" s="331">
        <v>1</v>
      </c>
      <c r="J88" s="331">
        <v>1</v>
      </c>
      <c r="K88" s="331">
        <v>1</v>
      </c>
      <c r="L88" s="331">
        <v>1</v>
      </c>
      <c r="M88" s="331">
        <v>1</v>
      </c>
      <c r="N88" s="331">
        <v>1</v>
      </c>
      <c r="O88" s="237"/>
      <c r="P88" s="237"/>
      <c r="Q88" s="331">
        <v>1</v>
      </c>
      <c r="R88" s="331">
        <v>1</v>
      </c>
      <c r="S88" s="331">
        <v>1</v>
      </c>
      <c r="T88" s="331">
        <v>1</v>
      </c>
      <c r="U88" s="331">
        <v>1</v>
      </c>
      <c r="V88" s="331">
        <v>1</v>
      </c>
      <c r="W88" s="388">
        <v>1</v>
      </c>
      <c r="X88" s="331">
        <v>1</v>
      </c>
      <c r="Y88" s="332"/>
      <c r="Z88" s="5">
        <f t="shared" si="3"/>
        <v>16</v>
      </c>
      <c r="AA88" s="5">
        <f t="shared" si="4"/>
        <v>512</v>
      </c>
    </row>
    <row r="89" spans="1:27" ht="15.75" customHeight="1">
      <c r="A89" s="108">
        <v>81</v>
      </c>
      <c r="B89" s="120" t="s">
        <v>155</v>
      </c>
      <c r="C89" s="121" t="s">
        <v>21</v>
      </c>
      <c r="D89" s="113"/>
      <c r="E89" s="69"/>
      <c r="F89" s="50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5">
        <f t="shared" si="3"/>
        <v>0</v>
      </c>
      <c r="AA89" s="5">
        <f t="shared" si="4"/>
        <v>0</v>
      </c>
    </row>
    <row r="90" spans="1:27" ht="15.75" customHeight="1">
      <c r="A90" s="108">
        <v>82</v>
      </c>
      <c r="B90" s="120" t="s">
        <v>337</v>
      </c>
      <c r="C90" s="121" t="s">
        <v>501</v>
      </c>
      <c r="D90" s="115"/>
      <c r="E90" s="68"/>
      <c r="F90" s="48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3"/>
      <c r="X90" s="271"/>
      <c r="Y90" s="271"/>
      <c r="Z90" s="5">
        <f t="shared" si="3"/>
        <v>0</v>
      </c>
      <c r="AA90" s="5">
        <f t="shared" si="4"/>
        <v>0</v>
      </c>
    </row>
    <row r="91" spans="1:27" ht="15.75" customHeight="1">
      <c r="A91" s="108">
        <v>83</v>
      </c>
      <c r="B91" s="120" t="s">
        <v>288</v>
      </c>
      <c r="C91" s="121" t="s">
        <v>501</v>
      </c>
      <c r="D91" s="117"/>
      <c r="E91" s="68"/>
      <c r="F91" s="55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3"/>
      <c r="X91" s="271"/>
      <c r="Y91" s="271"/>
      <c r="Z91" s="5">
        <f t="shared" si="3"/>
        <v>0</v>
      </c>
      <c r="AA91" s="5">
        <f t="shared" si="4"/>
        <v>0</v>
      </c>
    </row>
    <row r="92" spans="1:27" ht="15.75" customHeight="1">
      <c r="A92" s="108">
        <v>84</v>
      </c>
      <c r="B92" s="120" t="s">
        <v>338</v>
      </c>
      <c r="C92" s="121" t="s">
        <v>50</v>
      </c>
      <c r="D92" s="115"/>
      <c r="E92" s="68"/>
      <c r="F92" s="48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3"/>
      <c r="X92" s="271"/>
      <c r="Y92" s="271"/>
      <c r="Z92" s="5">
        <f t="shared" si="3"/>
        <v>0</v>
      </c>
      <c r="AA92" s="5">
        <f t="shared" si="4"/>
        <v>0</v>
      </c>
    </row>
    <row r="93" spans="1:27" ht="15.75" customHeight="1">
      <c r="A93" s="108">
        <v>85</v>
      </c>
      <c r="B93" s="120" t="s">
        <v>205</v>
      </c>
      <c r="C93" s="121" t="s">
        <v>520</v>
      </c>
      <c r="D93" s="115"/>
      <c r="E93" s="68"/>
      <c r="F93" s="48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5">
        <f t="shared" si="3"/>
        <v>0</v>
      </c>
      <c r="AA93" s="5">
        <f t="shared" si="4"/>
        <v>0</v>
      </c>
    </row>
    <row r="94" spans="1:27" ht="15.75" customHeight="1">
      <c r="A94" s="108">
        <v>86</v>
      </c>
      <c r="B94" s="120" t="s">
        <v>622</v>
      </c>
      <c r="C94" s="121" t="s">
        <v>520</v>
      </c>
      <c r="D94" s="115"/>
      <c r="E94" s="68"/>
      <c r="F94" s="57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5">
        <f t="shared" si="3"/>
        <v>0</v>
      </c>
      <c r="AA94" s="5">
        <f t="shared" si="4"/>
        <v>0</v>
      </c>
    </row>
    <row r="95" spans="1:27" ht="15.75" customHeight="1">
      <c r="A95" s="108">
        <v>87</v>
      </c>
      <c r="B95" s="122" t="s">
        <v>116</v>
      </c>
      <c r="C95" s="123" t="s">
        <v>50</v>
      </c>
      <c r="D95" s="117"/>
      <c r="E95" s="68"/>
      <c r="F95" s="55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3"/>
      <c r="X95" s="271"/>
      <c r="Y95" s="271"/>
      <c r="Z95" s="5">
        <f t="shared" si="3"/>
        <v>0</v>
      </c>
      <c r="AA95" s="5">
        <f t="shared" si="4"/>
        <v>0</v>
      </c>
    </row>
    <row r="96" spans="1:27" ht="15.75" customHeight="1">
      <c r="A96" s="108">
        <v>88</v>
      </c>
      <c r="B96" s="122" t="s">
        <v>635</v>
      </c>
      <c r="C96" s="123" t="s">
        <v>520</v>
      </c>
      <c r="D96" s="117"/>
      <c r="E96" s="68"/>
      <c r="F96" s="55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5">
        <f t="shared" si="3"/>
        <v>0</v>
      </c>
      <c r="AA96" s="5">
        <f t="shared" si="4"/>
        <v>0</v>
      </c>
    </row>
    <row r="97" spans="1:27" ht="15.75" customHeight="1">
      <c r="A97" s="108">
        <v>89</v>
      </c>
      <c r="B97" s="122" t="s">
        <v>637</v>
      </c>
      <c r="C97" s="123" t="s">
        <v>492</v>
      </c>
      <c r="D97" s="117"/>
      <c r="E97" s="68"/>
      <c r="F97" s="57"/>
      <c r="G97" s="271"/>
      <c r="H97" s="271"/>
      <c r="I97" s="331">
        <v>1</v>
      </c>
      <c r="J97" s="331">
        <v>1</v>
      </c>
      <c r="K97" s="271"/>
      <c r="L97" s="331">
        <v>1</v>
      </c>
      <c r="M97" s="331">
        <v>1</v>
      </c>
      <c r="N97" s="331">
        <v>1</v>
      </c>
      <c r="O97" s="331">
        <v>1</v>
      </c>
      <c r="P97" s="271"/>
      <c r="Q97" s="271"/>
      <c r="R97" s="331">
        <v>1</v>
      </c>
      <c r="S97" s="271"/>
      <c r="T97" s="332">
        <v>1</v>
      </c>
      <c r="U97" s="271"/>
      <c r="V97" s="271"/>
      <c r="W97" s="271"/>
      <c r="X97" s="271"/>
      <c r="Y97" s="271"/>
      <c r="Z97" s="5">
        <f t="shared" si="3"/>
        <v>8</v>
      </c>
      <c r="AA97" s="5">
        <f t="shared" si="4"/>
        <v>256</v>
      </c>
    </row>
    <row r="98" spans="1:27" ht="15.75" customHeight="1">
      <c r="A98" s="108">
        <v>90</v>
      </c>
      <c r="B98" s="122" t="s">
        <v>339</v>
      </c>
      <c r="C98" s="123" t="s">
        <v>50</v>
      </c>
      <c r="D98" s="118"/>
      <c r="E98" s="67"/>
      <c r="F98" s="57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3"/>
      <c r="X98" s="271"/>
      <c r="Y98" s="271"/>
      <c r="Z98" s="5">
        <f t="shared" si="3"/>
        <v>0</v>
      </c>
      <c r="AA98" s="5">
        <f t="shared" si="4"/>
        <v>0</v>
      </c>
    </row>
    <row r="99" spans="1:27" ht="15.75" customHeight="1">
      <c r="A99" s="108">
        <v>91</v>
      </c>
      <c r="B99" s="122" t="s">
        <v>340</v>
      </c>
      <c r="C99" s="123" t="s">
        <v>492</v>
      </c>
      <c r="D99" s="113"/>
      <c r="E99" s="69"/>
      <c r="F99" s="57"/>
      <c r="G99" s="331">
        <v>1</v>
      </c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331">
        <v>1</v>
      </c>
      <c r="U99" s="237"/>
      <c r="V99" s="237"/>
      <c r="W99" s="368"/>
      <c r="X99" s="237"/>
      <c r="Y99" s="237"/>
      <c r="Z99" s="5">
        <f t="shared" si="3"/>
        <v>2</v>
      </c>
      <c r="AA99" s="5">
        <f t="shared" si="4"/>
        <v>64</v>
      </c>
    </row>
    <row r="100" spans="1:27" ht="15.75" customHeight="1">
      <c r="A100" s="108">
        <v>92</v>
      </c>
      <c r="B100" s="122" t="s">
        <v>62</v>
      </c>
      <c r="C100" s="127" t="s">
        <v>21</v>
      </c>
      <c r="D100" s="113"/>
      <c r="E100" s="69"/>
      <c r="F100" s="57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3"/>
      <c r="X100" s="271"/>
      <c r="Y100" s="271"/>
      <c r="Z100" s="5">
        <f t="shared" si="3"/>
        <v>0</v>
      </c>
      <c r="AA100" s="5">
        <f t="shared" si="4"/>
        <v>0</v>
      </c>
    </row>
    <row r="101" spans="1:27" ht="15.75" customHeight="1">
      <c r="A101" s="108">
        <v>93</v>
      </c>
      <c r="B101" s="120" t="s">
        <v>144</v>
      </c>
      <c r="C101" s="121" t="s">
        <v>64</v>
      </c>
      <c r="D101" s="115"/>
      <c r="E101" s="68"/>
      <c r="F101" s="57"/>
      <c r="G101" s="331">
        <v>1</v>
      </c>
      <c r="H101" s="331">
        <v>1</v>
      </c>
      <c r="I101" s="331">
        <v>1</v>
      </c>
      <c r="J101" s="331">
        <v>1</v>
      </c>
      <c r="K101" s="331">
        <v>1</v>
      </c>
      <c r="L101" s="331">
        <v>1</v>
      </c>
      <c r="M101" s="331">
        <v>1</v>
      </c>
      <c r="N101" s="331">
        <v>1</v>
      </c>
      <c r="O101" s="331">
        <v>1</v>
      </c>
      <c r="P101" s="331">
        <v>1</v>
      </c>
      <c r="Q101" s="331">
        <v>1</v>
      </c>
      <c r="R101" s="331">
        <v>1</v>
      </c>
      <c r="S101" s="331">
        <v>1</v>
      </c>
      <c r="T101" s="331">
        <v>1</v>
      </c>
      <c r="U101" s="331">
        <v>1</v>
      </c>
      <c r="V101" s="331">
        <v>1</v>
      </c>
      <c r="W101" s="388">
        <v>1</v>
      </c>
      <c r="X101" s="331">
        <v>1</v>
      </c>
      <c r="Y101" s="331"/>
      <c r="Z101" s="5">
        <f t="shared" si="3"/>
        <v>18</v>
      </c>
      <c r="AA101" s="5">
        <f t="shared" si="4"/>
        <v>576</v>
      </c>
    </row>
    <row r="102" spans="1:27" ht="15.75" customHeight="1">
      <c r="A102" s="108">
        <v>94</v>
      </c>
      <c r="B102" s="120" t="s">
        <v>522</v>
      </c>
      <c r="C102" s="121" t="s">
        <v>520</v>
      </c>
      <c r="D102" s="115"/>
      <c r="E102" s="68"/>
      <c r="F102" s="55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5">
        <f t="shared" si="3"/>
        <v>0</v>
      </c>
      <c r="AA102" s="5">
        <f t="shared" si="4"/>
        <v>0</v>
      </c>
    </row>
    <row r="103" spans="1:27" ht="15.75" customHeight="1">
      <c r="A103" s="108">
        <v>95</v>
      </c>
      <c r="B103" s="120" t="s">
        <v>341</v>
      </c>
      <c r="C103" s="121" t="s">
        <v>497</v>
      </c>
      <c r="D103" s="115"/>
      <c r="E103" s="68"/>
      <c r="F103" s="57"/>
      <c r="G103" s="308">
        <v>1</v>
      </c>
      <c r="H103" s="314">
        <v>1</v>
      </c>
      <c r="I103" s="314">
        <v>1</v>
      </c>
      <c r="J103" s="314">
        <v>1</v>
      </c>
      <c r="K103" s="314">
        <v>1</v>
      </c>
      <c r="L103" s="314">
        <v>1</v>
      </c>
      <c r="M103" s="314">
        <v>1</v>
      </c>
      <c r="N103" s="314">
        <v>1</v>
      </c>
      <c r="O103" s="314">
        <v>1</v>
      </c>
      <c r="P103" s="314">
        <v>1</v>
      </c>
      <c r="Q103" s="314">
        <v>1</v>
      </c>
      <c r="R103" s="314">
        <v>1</v>
      </c>
      <c r="S103" s="314">
        <v>1</v>
      </c>
      <c r="T103" s="314">
        <v>1</v>
      </c>
      <c r="U103" s="314">
        <v>1</v>
      </c>
      <c r="V103" s="314">
        <v>1</v>
      </c>
      <c r="W103" s="314">
        <v>1</v>
      </c>
      <c r="X103" s="314">
        <v>1</v>
      </c>
      <c r="Y103" s="314"/>
      <c r="Z103" s="5">
        <f t="shared" si="3"/>
        <v>18</v>
      </c>
      <c r="AA103" s="5">
        <f t="shared" si="4"/>
        <v>576</v>
      </c>
    </row>
    <row r="104" spans="1:27" ht="15.75" customHeight="1">
      <c r="A104" s="108">
        <v>96</v>
      </c>
      <c r="B104" s="120" t="s">
        <v>70</v>
      </c>
      <c r="C104" s="121" t="s">
        <v>498</v>
      </c>
      <c r="D104" s="115"/>
      <c r="E104" s="68"/>
      <c r="F104" s="193" t="s">
        <v>673</v>
      </c>
      <c r="G104" s="10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5">
        <f t="shared" si="3"/>
        <v>0</v>
      </c>
      <c r="AA104" s="5">
        <f t="shared" si="4"/>
        <v>0</v>
      </c>
    </row>
    <row r="105" spans="1:27" ht="15.75" customHeight="1">
      <c r="A105" s="108">
        <v>97</v>
      </c>
      <c r="B105" s="120" t="s">
        <v>499</v>
      </c>
      <c r="C105" s="121" t="s">
        <v>498</v>
      </c>
      <c r="D105" s="115"/>
      <c r="E105" s="68"/>
      <c r="F105" s="403" t="s">
        <v>743</v>
      </c>
      <c r="G105" s="308">
        <v>1</v>
      </c>
      <c r="H105" s="314">
        <v>1</v>
      </c>
      <c r="I105" s="262"/>
      <c r="J105" s="314">
        <v>1</v>
      </c>
      <c r="K105" s="314">
        <v>1</v>
      </c>
      <c r="L105" s="262"/>
      <c r="M105" s="314">
        <v>1</v>
      </c>
      <c r="N105" s="262"/>
      <c r="O105" s="314">
        <v>1</v>
      </c>
      <c r="P105" s="314">
        <v>1</v>
      </c>
      <c r="Q105" s="262"/>
      <c r="R105" s="314">
        <v>1</v>
      </c>
      <c r="S105" s="262"/>
      <c r="T105" s="314">
        <v>1</v>
      </c>
      <c r="U105" s="314">
        <v>1</v>
      </c>
      <c r="V105" s="262"/>
      <c r="W105" s="314">
        <v>1</v>
      </c>
      <c r="X105" s="262"/>
      <c r="Y105" s="314"/>
      <c r="Z105" s="5">
        <f t="shared" si="3"/>
        <v>11</v>
      </c>
      <c r="AA105" s="5">
        <f t="shared" si="4"/>
        <v>352</v>
      </c>
    </row>
    <row r="106" spans="1:27" ht="15.75" customHeight="1">
      <c r="A106" s="108">
        <v>98</v>
      </c>
      <c r="B106" s="120" t="s">
        <v>115</v>
      </c>
      <c r="C106" s="121" t="s">
        <v>21</v>
      </c>
      <c r="D106" s="115"/>
      <c r="E106" s="68"/>
      <c r="F106" s="57"/>
      <c r="G106" s="308">
        <v>1</v>
      </c>
      <c r="H106" s="314">
        <v>1</v>
      </c>
      <c r="I106" s="314">
        <v>1</v>
      </c>
      <c r="J106" s="314">
        <v>1</v>
      </c>
      <c r="K106" s="314">
        <v>1</v>
      </c>
      <c r="L106" s="314">
        <v>1</v>
      </c>
      <c r="M106" s="314">
        <v>1</v>
      </c>
      <c r="N106" s="314">
        <v>1</v>
      </c>
      <c r="O106" s="314">
        <v>1</v>
      </c>
      <c r="P106" s="314">
        <v>1</v>
      </c>
      <c r="Q106" s="314">
        <v>1</v>
      </c>
      <c r="R106" s="314">
        <v>1</v>
      </c>
      <c r="S106" s="314">
        <v>1</v>
      </c>
      <c r="T106" s="314">
        <v>1</v>
      </c>
      <c r="U106" s="314">
        <v>1</v>
      </c>
      <c r="V106" s="48"/>
      <c r="W106" s="314">
        <v>1</v>
      </c>
      <c r="X106" s="314">
        <v>1</v>
      </c>
      <c r="Y106" s="48"/>
      <c r="Z106" s="5">
        <f t="shared" si="3"/>
        <v>17</v>
      </c>
      <c r="AA106" s="5">
        <f t="shared" si="4"/>
        <v>544</v>
      </c>
    </row>
    <row r="107" spans="1:27" ht="15.75" customHeight="1">
      <c r="A107" s="108">
        <v>99</v>
      </c>
      <c r="B107" s="120" t="s">
        <v>388</v>
      </c>
      <c r="C107" s="121" t="s">
        <v>21</v>
      </c>
      <c r="D107" s="115"/>
      <c r="E107" s="68"/>
      <c r="F107" s="403" t="s">
        <v>759</v>
      </c>
      <c r="G107" s="308">
        <v>1</v>
      </c>
      <c r="H107" s="262"/>
      <c r="I107" s="262"/>
      <c r="J107" s="314">
        <v>1</v>
      </c>
      <c r="K107" s="262"/>
      <c r="L107" s="262"/>
      <c r="M107" s="262"/>
      <c r="N107" s="262"/>
      <c r="O107" s="314">
        <v>1</v>
      </c>
      <c r="P107" s="262"/>
      <c r="Q107" s="262"/>
      <c r="R107" s="262"/>
      <c r="S107" s="262"/>
      <c r="T107" s="314">
        <v>1</v>
      </c>
      <c r="U107" s="262"/>
      <c r="V107" s="262"/>
      <c r="W107" s="262"/>
      <c r="X107" s="262"/>
      <c r="Y107" s="314"/>
      <c r="Z107" s="5">
        <f t="shared" si="3"/>
        <v>4</v>
      </c>
      <c r="AA107" s="5">
        <f t="shared" si="4"/>
        <v>128</v>
      </c>
    </row>
    <row r="108" spans="1:27" ht="15.75" customHeight="1">
      <c r="A108" s="108">
        <v>100</v>
      </c>
      <c r="B108" s="120" t="s">
        <v>342</v>
      </c>
      <c r="C108" s="121" t="s">
        <v>21</v>
      </c>
      <c r="D108" s="117"/>
      <c r="E108" s="82"/>
      <c r="F108" s="55"/>
      <c r="G108" s="10"/>
      <c r="H108" s="262"/>
      <c r="I108" s="314">
        <v>1</v>
      </c>
      <c r="J108" s="262"/>
      <c r="K108" s="262"/>
      <c r="L108" s="262"/>
      <c r="M108" s="262"/>
      <c r="N108" s="314">
        <v>1</v>
      </c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5">
        <f t="shared" si="3"/>
        <v>2</v>
      </c>
      <c r="AA108" s="5">
        <f t="shared" si="4"/>
        <v>64</v>
      </c>
    </row>
    <row r="109" spans="1:27" ht="15.75" customHeight="1">
      <c r="A109" s="108">
        <v>101</v>
      </c>
      <c r="B109" s="120" t="s">
        <v>343</v>
      </c>
      <c r="C109" s="121" t="s">
        <v>496</v>
      </c>
      <c r="D109" s="113"/>
      <c r="E109" s="69"/>
      <c r="F109" s="50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3"/>
      <c r="X109" s="271"/>
      <c r="Y109" s="271"/>
      <c r="Z109" s="5">
        <f t="shared" si="3"/>
        <v>0</v>
      </c>
      <c r="AA109" s="5">
        <f t="shared" si="4"/>
        <v>0</v>
      </c>
    </row>
    <row r="110" spans="1:27" ht="15.75" customHeight="1">
      <c r="A110" s="108">
        <v>102</v>
      </c>
      <c r="B110" s="120" t="s">
        <v>344</v>
      </c>
      <c r="C110" s="121" t="s">
        <v>492</v>
      </c>
      <c r="D110" s="113"/>
      <c r="E110" s="69"/>
      <c r="F110" s="57"/>
      <c r="G110" s="331">
        <v>1</v>
      </c>
      <c r="H110" s="331">
        <v>1</v>
      </c>
      <c r="I110" s="331">
        <v>1</v>
      </c>
      <c r="J110" s="331">
        <v>1</v>
      </c>
      <c r="K110" s="331">
        <v>1</v>
      </c>
      <c r="L110" s="332">
        <v>1</v>
      </c>
      <c r="M110" s="332">
        <v>1</v>
      </c>
      <c r="N110" s="332">
        <v>1</v>
      </c>
      <c r="O110" s="332">
        <v>1</v>
      </c>
      <c r="P110" s="332">
        <v>1</v>
      </c>
      <c r="Q110" s="332">
        <v>1</v>
      </c>
      <c r="R110" s="332">
        <v>1</v>
      </c>
      <c r="S110" s="332">
        <v>1</v>
      </c>
      <c r="T110" s="332">
        <v>1</v>
      </c>
      <c r="U110" s="332">
        <v>1</v>
      </c>
      <c r="V110" s="332">
        <v>1</v>
      </c>
      <c r="W110" s="333">
        <v>1</v>
      </c>
      <c r="X110" s="332">
        <v>1</v>
      </c>
      <c r="Y110" s="332"/>
      <c r="Z110" s="5">
        <f t="shared" si="3"/>
        <v>18</v>
      </c>
      <c r="AA110" s="5">
        <f t="shared" si="4"/>
        <v>576</v>
      </c>
    </row>
    <row r="111" spans="1:27" ht="15.75" customHeight="1">
      <c r="A111" s="108">
        <v>103</v>
      </c>
      <c r="B111" s="120" t="s">
        <v>285</v>
      </c>
      <c r="C111" s="121" t="s">
        <v>492</v>
      </c>
      <c r="D111" s="118"/>
      <c r="E111" s="67"/>
      <c r="F111" s="56"/>
      <c r="G111" s="331">
        <v>1</v>
      </c>
      <c r="H111" s="237"/>
      <c r="I111" s="331">
        <v>1</v>
      </c>
      <c r="J111" s="237"/>
      <c r="K111" s="237"/>
      <c r="L111" s="237"/>
      <c r="M111" s="331">
        <v>1</v>
      </c>
      <c r="N111" s="331">
        <v>1</v>
      </c>
      <c r="O111" s="331">
        <v>1</v>
      </c>
      <c r="P111" s="331">
        <v>1</v>
      </c>
      <c r="Q111" s="331">
        <v>1</v>
      </c>
      <c r="R111" s="331">
        <v>1</v>
      </c>
      <c r="S111" s="331">
        <v>1</v>
      </c>
      <c r="T111" s="332">
        <v>1</v>
      </c>
      <c r="U111" s="332">
        <v>1</v>
      </c>
      <c r="V111" s="332">
        <v>0</v>
      </c>
      <c r="W111" s="333">
        <v>1</v>
      </c>
      <c r="X111" s="332">
        <v>1</v>
      </c>
      <c r="Y111" s="332"/>
      <c r="Z111" s="5">
        <f t="shared" si="3"/>
        <v>13</v>
      </c>
      <c r="AA111" s="5">
        <f t="shared" si="4"/>
        <v>416</v>
      </c>
    </row>
    <row r="112" spans="1:27" ht="15.75" customHeight="1">
      <c r="A112" s="108">
        <v>104</v>
      </c>
      <c r="B112" s="120" t="s">
        <v>208</v>
      </c>
      <c r="C112" s="121" t="s">
        <v>50</v>
      </c>
      <c r="D112" s="117"/>
      <c r="E112" s="68"/>
      <c r="F112" s="57"/>
      <c r="G112" s="308">
        <v>1</v>
      </c>
      <c r="H112" s="314">
        <v>1</v>
      </c>
      <c r="I112" s="314">
        <v>1</v>
      </c>
      <c r="J112" s="314">
        <v>1</v>
      </c>
      <c r="K112" s="314">
        <v>1</v>
      </c>
      <c r="L112" s="314">
        <v>1</v>
      </c>
      <c r="M112" s="314">
        <v>1</v>
      </c>
      <c r="N112" s="314">
        <v>1</v>
      </c>
      <c r="O112" s="314">
        <v>1</v>
      </c>
      <c r="P112" s="314">
        <v>1</v>
      </c>
      <c r="Q112" s="314">
        <v>1</v>
      </c>
      <c r="R112" s="314">
        <v>1</v>
      </c>
      <c r="S112" s="314">
        <v>1</v>
      </c>
      <c r="T112" s="314">
        <v>1</v>
      </c>
      <c r="U112" s="314">
        <v>1</v>
      </c>
      <c r="V112" s="314">
        <v>1</v>
      </c>
      <c r="W112" s="314">
        <v>1</v>
      </c>
      <c r="X112" s="314">
        <v>1</v>
      </c>
      <c r="Y112" s="314"/>
      <c r="Z112" s="5">
        <f t="shared" si="3"/>
        <v>18</v>
      </c>
      <c r="AA112" s="5">
        <f t="shared" si="4"/>
        <v>576</v>
      </c>
    </row>
    <row r="113" spans="1:27" ht="15.75" customHeight="1">
      <c r="A113" s="108">
        <v>105</v>
      </c>
      <c r="B113" s="120" t="s">
        <v>134</v>
      </c>
      <c r="C113" s="121" t="s">
        <v>501</v>
      </c>
      <c r="D113" s="113"/>
      <c r="E113" s="69"/>
      <c r="F113" s="57"/>
      <c r="G113" s="318">
        <v>1</v>
      </c>
      <c r="H113" s="318">
        <v>1</v>
      </c>
      <c r="I113" s="318">
        <v>1</v>
      </c>
      <c r="J113" s="318">
        <v>1</v>
      </c>
      <c r="K113" s="318">
        <v>1</v>
      </c>
      <c r="L113" s="318">
        <v>1</v>
      </c>
      <c r="M113" s="318">
        <v>1</v>
      </c>
      <c r="N113" s="318">
        <v>1</v>
      </c>
      <c r="O113" s="50"/>
      <c r="P113" s="318">
        <v>1</v>
      </c>
      <c r="Q113" s="318">
        <v>1</v>
      </c>
      <c r="R113" s="318">
        <v>1</v>
      </c>
      <c r="S113" s="318">
        <v>1</v>
      </c>
      <c r="T113" s="330">
        <v>1</v>
      </c>
      <c r="U113" s="330">
        <v>1</v>
      </c>
      <c r="V113" s="330">
        <v>1</v>
      </c>
      <c r="W113" s="330">
        <v>1</v>
      </c>
      <c r="X113" s="330">
        <v>1</v>
      </c>
      <c r="Y113" s="330"/>
      <c r="Z113" s="5">
        <f t="shared" si="3"/>
        <v>17</v>
      </c>
      <c r="AA113" s="5">
        <f t="shared" si="4"/>
        <v>544</v>
      </c>
    </row>
    <row r="114" spans="1:27" ht="15.75" customHeight="1">
      <c r="A114" s="108">
        <v>106</v>
      </c>
      <c r="B114" s="120" t="s">
        <v>345</v>
      </c>
      <c r="C114" s="121" t="s">
        <v>64</v>
      </c>
      <c r="D114" s="113"/>
      <c r="E114" s="69"/>
      <c r="F114" s="5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>
        <f t="shared" si="3"/>
        <v>0</v>
      </c>
      <c r="AA114" s="5">
        <f t="shared" si="4"/>
        <v>0</v>
      </c>
    </row>
    <row r="115" spans="1:27" ht="15.75" customHeight="1">
      <c r="A115" s="108">
        <v>107</v>
      </c>
      <c r="B115" s="120" t="s">
        <v>346</v>
      </c>
      <c r="C115" s="121" t="s">
        <v>21</v>
      </c>
      <c r="D115" s="113"/>
      <c r="E115" s="69"/>
      <c r="F115" s="57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>
        <f t="shared" si="3"/>
        <v>0</v>
      </c>
      <c r="AA115" s="5">
        <f t="shared" si="4"/>
        <v>0</v>
      </c>
    </row>
    <row r="116" spans="1:27" ht="15.75" customHeight="1">
      <c r="A116" s="108">
        <v>108</v>
      </c>
      <c r="B116" s="120" t="s">
        <v>653</v>
      </c>
      <c r="C116" s="121" t="s">
        <v>21</v>
      </c>
      <c r="D116" s="113"/>
      <c r="E116" s="69"/>
      <c r="F116" s="57"/>
      <c r="G116" s="318">
        <v>1</v>
      </c>
      <c r="H116" s="50"/>
      <c r="I116" s="50"/>
      <c r="J116" s="318">
        <v>1</v>
      </c>
      <c r="K116" s="50"/>
      <c r="L116" s="50"/>
      <c r="M116" s="50"/>
      <c r="N116" s="318">
        <v>1</v>
      </c>
      <c r="O116" s="318">
        <v>1</v>
      </c>
      <c r="P116" s="50"/>
      <c r="Q116" s="50"/>
      <c r="R116" s="50"/>
      <c r="S116" s="318">
        <v>1</v>
      </c>
      <c r="T116" s="318">
        <v>1</v>
      </c>
      <c r="U116" s="50"/>
      <c r="V116" s="50"/>
      <c r="W116" s="50"/>
      <c r="X116" s="50"/>
      <c r="Y116" s="50"/>
      <c r="Z116" s="5">
        <f t="shared" si="3"/>
        <v>6</v>
      </c>
      <c r="AA116" s="5">
        <f t="shared" si="4"/>
        <v>192</v>
      </c>
    </row>
    <row r="117" spans="1:27" ht="15.75" customHeight="1">
      <c r="A117" s="108">
        <v>109</v>
      </c>
      <c r="B117" s="120" t="s">
        <v>347</v>
      </c>
      <c r="C117" s="121" t="s">
        <v>492</v>
      </c>
      <c r="D117" s="113"/>
      <c r="E117" s="69"/>
      <c r="F117" s="5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318">
        <v>1</v>
      </c>
      <c r="S117" s="5"/>
      <c r="T117" s="5"/>
      <c r="U117" s="5"/>
      <c r="V117" s="5"/>
      <c r="W117" s="5"/>
      <c r="X117" s="5"/>
      <c r="Y117" s="5"/>
      <c r="Z117" s="5">
        <f t="shared" si="3"/>
        <v>1</v>
      </c>
      <c r="AA117" s="5">
        <f t="shared" si="4"/>
        <v>32</v>
      </c>
    </row>
    <row r="118" spans="1:27" ht="15.75" customHeight="1">
      <c r="A118" s="108">
        <v>110</v>
      </c>
      <c r="B118" s="120" t="s">
        <v>209</v>
      </c>
      <c r="C118" s="121" t="s">
        <v>21</v>
      </c>
      <c r="D118" s="113"/>
      <c r="E118" s="69"/>
      <c r="F118" s="5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>
        <f t="shared" si="3"/>
        <v>0</v>
      </c>
      <c r="AA118" s="5">
        <f t="shared" si="4"/>
        <v>0</v>
      </c>
    </row>
    <row r="119" spans="1:27" ht="15.75" customHeight="1">
      <c r="A119" s="108">
        <v>111</v>
      </c>
      <c r="B119" s="120" t="s">
        <v>507</v>
      </c>
      <c r="C119" s="121" t="s">
        <v>497</v>
      </c>
      <c r="D119" s="113"/>
      <c r="E119" s="69"/>
      <c r="F119" s="5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>
        <f t="shared" si="3"/>
        <v>0</v>
      </c>
      <c r="AA119" s="5">
        <f t="shared" si="4"/>
        <v>0</v>
      </c>
    </row>
    <row r="120" spans="1:27" ht="15.75" customHeight="1">
      <c r="A120" s="108">
        <v>112</v>
      </c>
      <c r="B120" s="120" t="s">
        <v>348</v>
      </c>
      <c r="C120" s="121" t="s">
        <v>501</v>
      </c>
      <c r="D120" s="113"/>
      <c r="E120" s="69"/>
      <c r="F120" s="5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>
        <f t="shared" si="3"/>
        <v>0</v>
      </c>
      <c r="AA120" s="5">
        <f t="shared" si="4"/>
        <v>0</v>
      </c>
    </row>
    <row r="121" spans="1:27" ht="15.75" customHeight="1">
      <c r="A121" s="108">
        <v>113</v>
      </c>
      <c r="B121" s="120" t="s">
        <v>169</v>
      </c>
      <c r="C121" s="121" t="s">
        <v>50</v>
      </c>
      <c r="D121" s="113"/>
      <c r="E121" s="69"/>
      <c r="F121" s="57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>
        <f t="shared" si="3"/>
        <v>0</v>
      </c>
      <c r="AA121" s="5">
        <f t="shared" si="4"/>
        <v>0</v>
      </c>
    </row>
    <row r="122" spans="1:27" ht="15.75" customHeight="1">
      <c r="A122" s="108">
        <v>114</v>
      </c>
      <c r="B122" s="120" t="s">
        <v>203</v>
      </c>
      <c r="C122" s="171" t="s">
        <v>496</v>
      </c>
      <c r="D122" s="121"/>
      <c r="E122" s="69"/>
      <c r="F122" s="5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>
        <f t="shared" si="3"/>
        <v>0</v>
      </c>
      <c r="AA122" s="5">
        <f t="shared" si="4"/>
        <v>0</v>
      </c>
    </row>
    <row r="123" spans="1:27" ht="15.75" customHeight="1">
      <c r="A123" s="108">
        <v>115</v>
      </c>
      <c r="B123" s="120" t="s">
        <v>262</v>
      </c>
      <c r="C123" s="121" t="s">
        <v>501</v>
      </c>
      <c r="D123" s="113"/>
      <c r="E123" s="69"/>
      <c r="F123" s="5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>
        <f t="shared" si="3"/>
        <v>0</v>
      </c>
      <c r="AA123" s="5">
        <f t="shared" si="4"/>
        <v>0</v>
      </c>
    </row>
    <row r="124" spans="1:27" ht="15.75" customHeight="1">
      <c r="A124" s="108">
        <v>116</v>
      </c>
      <c r="B124" s="120" t="s">
        <v>128</v>
      </c>
      <c r="C124" s="121" t="s">
        <v>496</v>
      </c>
      <c r="D124" s="113"/>
      <c r="E124" s="69"/>
      <c r="F124" s="5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>
        <f t="shared" si="3"/>
        <v>0</v>
      </c>
      <c r="AA124" s="5">
        <f t="shared" si="4"/>
        <v>0</v>
      </c>
    </row>
    <row r="125" spans="1:27" ht="15.75" customHeight="1">
      <c r="A125" s="108">
        <v>117</v>
      </c>
      <c r="B125" s="120" t="s">
        <v>349</v>
      </c>
      <c r="C125" s="121" t="s">
        <v>50</v>
      </c>
      <c r="D125" s="113"/>
      <c r="E125" s="69"/>
      <c r="F125" s="5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>
        <f t="shared" si="3"/>
        <v>0</v>
      </c>
      <c r="AA125" s="5">
        <f t="shared" si="4"/>
        <v>0</v>
      </c>
    </row>
    <row r="126" spans="1:27" ht="15.75" customHeight="1">
      <c r="A126" s="108">
        <v>118</v>
      </c>
      <c r="B126" s="120" t="s">
        <v>106</v>
      </c>
      <c r="C126" s="121" t="s">
        <v>498</v>
      </c>
      <c r="D126" s="113"/>
      <c r="E126" s="69"/>
      <c r="F126" s="57"/>
      <c r="G126" s="318">
        <v>1</v>
      </c>
      <c r="H126" s="318">
        <v>1</v>
      </c>
      <c r="I126" s="50"/>
      <c r="J126" s="318">
        <v>1</v>
      </c>
      <c r="K126" s="318">
        <v>1</v>
      </c>
      <c r="L126" s="318">
        <v>1</v>
      </c>
      <c r="M126" s="318">
        <v>1</v>
      </c>
      <c r="N126" s="318">
        <v>1</v>
      </c>
      <c r="O126" s="318">
        <v>1</v>
      </c>
      <c r="P126" s="318">
        <v>1</v>
      </c>
      <c r="Q126" s="318">
        <v>1</v>
      </c>
      <c r="R126" s="318">
        <v>1</v>
      </c>
      <c r="S126" s="318">
        <v>1</v>
      </c>
      <c r="T126" s="330">
        <v>1</v>
      </c>
      <c r="U126" s="330">
        <v>1</v>
      </c>
      <c r="V126" s="330">
        <v>0</v>
      </c>
      <c r="W126" s="330">
        <v>1</v>
      </c>
      <c r="X126" s="330">
        <v>1</v>
      </c>
      <c r="Y126" s="330"/>
      <c r="Z126" s="5">
        <f t="shared" si="3"/>
        <v>16</v>
      </c>
      <c r="AA126" s="5">
        <f t="shared" si="4"/>
        <v>512</v>
      </c>
    </row>
    <row r="127" spans="1:27" ht="15.75" customHeight="1">
      <c r="A127" s="108">
        <v>119</v>
      </c>
      <c r="B127" s="120" t="s">
        <v>350</v>
      </c>
      <c r="C127" s="121" t="s">
        <v>497</v>
      </c>
      <c r="D127" s="113"/>
      <c r="E127" s="69"/>
      <c r="F127" s="377" t="s">
        <v>783</v>
      </c>
      <c r="G127" s="318">
        <v>1</v>
      </c>
      <c r="H127" s="318">
        <v>1</v>
      </c>
      <c r="I127" s="318">
        <v>1</v>
      </c>
      <c r="J127" s="5"/>
      <c r="K127" s="5"/>
      <c r="L127" s="318">
        <v>1</v>
      </c>
      <c r="M127" s="318">
        <v>1</v>
      </c>
      <c r="N127" s="318">
        <v>1</v>
      </c>
      <c r="O127" s="318">
        <v>1</v>
      </c>
      <c r="P127" s="318">
        <v>1</v>
      </c>
      <c r="Q127" s="318">
        <v>1</v>
      </c>
      <c r="R127" s="318">
        <v>1</v>
      </c>
      <c r="S127" s="318">
        <v>1</v>
      </c>
      <c r="T127" s="318">
        <v>1</v>
      </c>
      <c r="U127" s="318">
        <v>1</v>
      </c>
      <c r="V127" s="318">
        <v>1</v>
      </c>
      <c r="W127" s="318">
        <v>1</v>
      </c>
      <c r="X127" s="318">
        <v>1</v>
      </c>
      <c r="Y127" s="318"/>
      <c r="Z127" s="5">
        <f t="shared" si="3"/>
        <v>16</v>
      </c>
      <c r="AA127" s="5">
        <f t="shared" si="4"/>
        <v>512</v>
      </c>
    </row>
    <row r="128" spans="1:27" ht="15.75" customHeight="1">
      <c r="A128" s="108">
        <v>120</v>
      </c>
      <c r="B128" s="120" t="s">
        <v>502</v>
      </c>
      <c r="C128" s="121" t="s">
        <v>520</v>
      </c>
      <c r="D128" s="113"/>
      <c r="E128" s="69"/>
      <c r="F128" s="377" t="s">
        <v>746</v>
      </c>
      <c r="G128" s="318">
        <v>1</v>
      </c>
      <c r="H128" s="5"/>
      <c r="I128" s="5"/>
      <c r="J128" s="318">
        <v>1</v>
      </c>
      <c r="K128" s="5"/>
      <c r="L128" s="5"/>
      <c r="M128" s="5"/>
      <c r="N128" s="318">
        <v>1</v>
      </c>
      <c r="O128" s="318">
        <v>1</v>
      </c>
      <c r="P128" s="5"/>
      <c r="Q128" s="5"/>
      <c r="R128" s="5"/>
      <c r="S128" s="318">
        <v>1</v>
      </c>
      <c r="T128" s="318">
        <v>1</v>
      </c>
      <c r="U128" s="5"/>
      <c r="V128" s="5"/>
      <c r="W128" s="5"/>
      <c r="X128" s="318">
        <v>1</v>
      </c>
      <c r="Y128" s="5"/>
      <c r="Z128" s="5">
        <f t="shared" si="3"/>
        <v>7</v>
      </c>
      <c r="AA128" s="5">
        <f t="shared" si="4"/>
        <v>224</v>
      </c>
    </row>
    <row r="129" spans="1:27" ht="15.75" customHeight="1">
      <c r="A129" s="108">
        <v>121</v>
      </c>
      <c r="B129" s="120" t="s">
        <v>352</v>
      </c>
      <c r="C129" s="121" t="s">
        <v>501</v>
      </c>
      <c r="D129" s="113"/>
      <c r="E129" s="69"/>
      <c r="F129" s="57"/>
      <c r="G129" s="5"/>
      <c r="H129" s="5"/>
      <c r="I129" s="5"/>
      <c r="J129" s="5"/>
      <c r="K129" s="5"/>
      <c r="L129" s="5"/>
      <c r="M129" s="5"/>
      <c r="N129" s="5"/>
      <c r="O129" s="318">
        <v>1</v>
      </c>
      <c r="P129" s="5"/>
      <c r="Q129" s="5"/>
      <c r="R129" s="5"/>
      <c r="S129" s="5"/>
      <c r="T129" s="330">
        <v>1</v>
      </c>
      <c r="U129" s="5"/>
      <c r="V129" s="5"/>
      <c r="W129" s="5"/>
      <c r="X129" s="5"/>
      <c r="Y129" s="5"/>
      <c r="Z129" s="5">
        <f t="shared" si="3"/>
        <v>2</v>
      </c>
      <c r="AA129" s="5">
        <f t="shared" si="4"/>
        <v>64</v>
      </c>
    </row>
    <row r="130" spans="1:27" ht="15.75" customHeight="1">
      <c r="A130" s="108">
        <v>122</v>
      </c>
      <c r="B130" s="120" t="s">
        <v>353</v>
      </c>
      <c r="C130" s="121" t="s">
        <v>492</v>
      </c>
      <c r="D130" s="113"/>
      <c r="E130" s="69"/>
      <c r="F130" s="57"/>
      <c r="G130" s="318">
        <v>1</v>
      </c>
      <c r="H130" s="318">
        <v>1</v>
      </c>
      <c r="I130" s="318">
        <v>1</v>
      </c>
      <c r="J130" s="318">
        <v>1</v>
      </c>
      <c r="K130" s="318">
        <v>1</v>
      </c>
      <c r="L130" s="318">
        <v>1</v>
      </c>
      <c r="M130" s="318">
        <v>1</v>
      </c>
      <c r="N130" s="318">
        <v>1</v>
      </c>
      <c r="O130" s="318">
        <v>1</v>
      </c>
      <c r="P130" s="318">
        <v>1</v>
      </c>
      <c r="Q130" s="318">
        <v>1</v>
      </c>
      <c r="R130" s="318">
        <v>1</v>
      </c>
      <c r="S130" s="318">
        <v>1</v>
      </c>
      <c r="T130" s="318">
        <v>1</v>
      </c>
      <c r="U130" s="318">
        <v>1</v>
      </c>
      <c r="V130" s="318">
        <v>1</v>
      </c>
      <c r="W130" s="318">
        <v>1</v>
      </c>
      <c r="X130" s="318">
        <v>1</v>
      </c>
      <c r="Y130" s="330"/>
      <c r="Z130" s="5">
        <f t="shared" si="3"/>
        <v>18</v>
      </c>
      <c r="AA130" s="5">
        <f t="shared" si="4"/>
        <v>576</v>
      </c>
    </row>
    <row r="131" spans="1:27" ht="15.75" customHeight="1">
      <c r="A131" s="108">
        <v>123</v>
      </c>
      <c r="B131" s="120" t="s">
        <v>354</v>
      </c>
      <c r="C131" s="121" t="s">
        <v>50</v>
      </c>
      <c r="D131" s="113"/>
      <c r="E131" s="69"/>
      <c r="F131" s="57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>
        <f t="shared" si="3"/>
        <v>0</v>
      </c>
      <c r="AA131" s="5">
        <f t="shared" si="4"/>
        <v>0</v>
      </c>
    </row>
    <row r="132" spans="1:27" ht="15.75" customHeight="1">
      <c r="A132" s="108">
        <v>124</v>
      </c>
      <c r="B132" s="120" t="s">
        <v>179</v>
      </c>
      <c r="C132" s="121" t="s">
        <v>64</v>
      </c>
      <c r="D132" s="113"/>
      <c r="E132" s="69"/>
      <c r="F132" s="57"/>
      <c r="G132" s="318">
        <v>1</v>
      </c>
      <c r="H132" s="318">
        <v>1</v>
      </c>
      <c r="I132" s="318">
        <v>1</v>
      </c>
      <c r="J132" s="318">
        <v>1</v>
      </c>
      <c r="K132" s="318">
        <v>1</v>
      </c>
      <c r="L132" s="318">
        <v>1</v>
      </c>
      <c r="M132" s="318">
        <v>1</v>
      </c>
      <c r="N132" s="318">
        <v>1</v>
      </c>
      <c r="O132" s="318">
        <v>1</v>
      </c>
      <c r="P132" s="318">
        <v>1</v>
      </c>
      <c r="Q132" s="318">
        <v>1</v>
      </c>
      <c r="R132" s="318">
        <v>1</v>
      </c>
      <c r="S132" s="318">
        <v>1</v>
      </c>
      <c r="T132" s="318">
        <v>1</v>
      </c>
      <c r="U132" s="318">
        <v>1</v>
      </c>
      <c r="V132" s="330">
        <v>1</v>
      </c>
      <c r="W132" s="330">
        <v>1</v>
      </c>
      <c r="X132" s="330">
        <v>1</v>
      </c>
      <c r="Y132" s="330"/>
      <c r="Z132" s="5">
        <f t="shared" si="3"/>
        <v>18</v>
      </c>
      <c r="AA132" s="5">
        <f t="shared" si="4"/>
        <v>576</v>
      </c>
    </row>
    <row r="133" spans="1:27" ht="15.75" customHeight="1">
      <c r="A133" s="108">
        <v>125</v>
      </c>
      <c r="B133" s="120" t="s">
        <v>355</v>
      </c>
      <c r="C133" s="121" t="s">
        <v>50</v>
      </c>
      <c r="D133" s="113"/>
      <c r="E133" s="69"/>
      <c r="F133" s="57"/>
      <c r="G133" s="318">
        <v>1</v>
      </c>
      <c r="H133" s="5"/>
      <c r="I133" s="5"/>
      <c r="J133" s="318">
        <v>1</v>
      </c>
      <c r="K133" s="5"/>
      <c r="L133" s="5"/>
      <c r="M133" s="5"/>
      <c r="N133" s="5"/>
      <c r="O133" s="318">
        <v>1</v>
      </c>
      <c r="P133" s="5"/>
      <c r="Q133" s="5"/>
      <c r="R133" s="5"/>
      <c r="S133" s="5"/>
      <c r="T133" s="330">
        <v>1</v>
      </c>
      <c r="U133" s="5"/>
      <c r="V133" s="5"/>
      <c r="W133" s="5"/>
      <c r="X133" s="5"/>
      <c r="Y133" s="5"/>
      <c r="Z133" s="5">
        <f t="shared" si="3"/>
        <v>4</v>
      </c>
      <c r="AA133" s="5">
        <f t="shared" si="4"/>
        <v>128</v>
      </c>
    </row>
    <row r="134" spans="1:27" ht="15.75" customHeight="1">
      <c r="A134" s="108">
        <v>126</v>
      </c>
      <c r="B134" s="120" t="s">
        <v>711</v>
      </c>
      <c r="C134" s="121" t="s">
        <v>21</v>
      </c>
      <c r="D134" s="113"/>
      <c r="E134" s="69"/>
      <c r="F134" s="57"/>
      <c r="G134" s="5"/>
      <c r="H134" s="5"/>
      <c r="I134" s="318">
        <v>1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>
        <f t="shared" si="3"/>
        <v>1</v>
      </c>
      <c r="AA134" s="5">
        <f t="shared" si="4"/>
        <v>32</v>
      </c>
    </row>
    <row r="135" spans="1:27" ht="15.75" customHeight="1">
      <c r="A135" s="108">
        <v>127</v>
      </c>
      <c r="B135" s="120" t="s">
        <v>256</v>
      </c>
      <c r="C135" s="121" t="s">
        <v>492</v>
      </c>
      <c r="D135" s="113"/>
      <c r="E135" s="69"/>
      <c r="F135" s="57"/>
      <c r="G135" s="318">
        <v>1</v>
      </c>
      <c r="H135" s="318">
        <v>1</v>
      </c>
      <c r="I135" s="318">
        <v>1</v>
      </c>
      <c r="J135" s="318">
        <v>1</v>
      </c>
      <c r="K135" s="318">
        <v>1</v>
      </c>
      <c r="L135" s="318">
        <v>1</v>
      </c>
      <c r="M135" s="318">
        <v>1</v>
      </c>
      <c r="N135" s="318">
        <v>1</v>
      </c>
      <c r="O135" s="318">
        <v>1</v>
      </c>
      <c r="P135" s="318">
        <v>1</v>
      </c>
      <c r="Q135" s="318">
        <v>1</v>
      </c>
      <c r="R135" s="318">
        <v>1</v>
      </c>
      <c r="S135" s="318">
        <v>1</v>
      </c>
      <c r="T135" s="318">
        <v>1</v>
      </c>
      <c r="U135" s="318">
        <v>1</v>
      </c>
      <c r="V135" s="318">
        <v>1</v>
      </c>
      <c r="W135" s="318">
        <v>1</v>
      </c>
      <c r="X135" s="318">
        <v>1</v>
      </c>
      <c r="Y135" s="318"/>
      <c r="Z135" s="5">
        <f t="shared" si="3"/>
        <v>18</v>
      </c>
      <c r="AA135" s="5">
        <f t="shared" si="4"/>
        <v>576</v>
      </c>
    </row>
    <row r="136" spans="1:27" ht="15.75" customHeight="1">
      <c r="A136" s="108">
        <v>128</v>
      </c>
      <c r="B136" s="120" t="s">
        <v>254</v>
      </c>
      <c r="C136" s="121" t="s">
        <v>501</v>
      </c>
      <c r="D136" s="113"/>
      <c r="E136" s="69"/>
      <c r="F136" s="57"/>
      <c r="G136" s="5"/>
      <c r="H136" s="5"/>
      <c r="I136" s="318">
        <v>1</v>
      </c>
      <c r="J136" s="318">
        <v>1</v>
      </c>
      <c r="K136" s="5"/>
      <c r="L136" s="5"/>
      <c r="M136" s="5"/>
      <c r="N136" s="5"/>
      <c r="O136" s="5"/>
      <c r="P136" s="5"/>
      <c r="Q136" s="5"/>
      <c r="R136" s="5"/>
      <c r="S136" s="5"/>
      <c r="T136" s="318">
        <v>1</v>
      </c>
      <c r="U136" s="5"/>
      <c r="V136" s="5"/>
      <c r="W136" s="5"/>
      <c r="X136" s="5"/>
      <c r="Y136" s="5"/>
      <c r="Z136" s="5">
        <f t="shared" si="3"/>
        <v>3</v>
      </c>
      <c r="AA136" s="5">
        <f t="shared" si="4"/>
        <v>96</v>
      </c>
    </row>
    <row r="137" spans="1:27" ht="15.75" customHeight="1">
      <c r="A137" s="108">
        <v>129</v>
      </c>
      <c r="B137" s="120" t="s">
        <v>494</v>
      </c>
      <c r="C137" s="121" t="s">
        <v>496</v>
      </c>
      <c r="D137" s="113"/>
      <c r="E137" s="69"/>
      <c r="F137" s="57"/>
      <c r="G137" s="318">
        <v>1</v>
      </c>
      <c r="H137" s="318">
        <v>1</v>
      </c>
      <c r="I137" s="318">
        <v>1</v>
      </c>
      <c r="J137" s="318">
        <v>1</v>
      </c>
      <c r="K137" s="318">
        <v>1</v>
      </c>
      <c r="L137" s="50"/>
      <c r="M137" s="318">
        <v>1</v>
      </c>
      <c r="N137" s="50"/>
      <c r="O137" s="318">
        <v>1</v>
      </c>
      <c r="P137" s="318">
        <v>1</v>
      </c>
      <c r="Q137" s="318">
        <v>1</v>
      </c>
      <c r="R137" s="318">
        <v>1</v>
      </c>
      <c r="S137" s="318">
        <v>1</v>
      </c>
      <c r="T137" s="318">
        <v>1</v>
      </c>
      <c r="U137" s="330">
        <v>1</v>
      </c>
      <c r="V137" s="330">
        <v>1</v>
      </c>
      <c r="W137" s="330">
        <v>1</v>
      </c>
      <c r="X137" s="330">
        <v>1</v>
      </c>
      <c r="Y137" s="330"/>
      <c r="Z137" s="5">
        <f t="shared" ref="Z137:Z159" si="5">+SUM(G137:Y137)</f>
        <v>16</v>
      </c>
      <c r="AA137" s="5">
        <f t="shared" ref="AA137:AA159" si="6">+Z137*32</f>
        <v>512</v>
      </c>
    </row>
    <row r="138" spans="1:27" ht="15.75" customHeight="1">
      <c r="A138" s="108">
        <v>130</v>
      </c>
      <c r="B138" s="120" t="s">
        <v>356</v>
      </c>
      <c r="C138" s="121" t="s">
        <v>492</v>
      </c>
      <c r="D138" s="113"/>
      <c r="E138" s="69"/>
      <c r="F138" s="57"/>
      <c r="G138" s="318">
        <v>1</v>
      </c>
      <c r="H138" s="318">
        <v>1</v>
      </c>
      <c r="I138" s="318">
        <v>1</v>
      </c>
      <c r="J138" s="318">
        <v>1</v>
      </c>
      <c r="K138" s="318">
        <v>1</v>
      </c>
      <c r="L138" s="318">
        <v>1</v>
      </c>
      <c r="M138" s="318">
        <v>1</v>
      </c>
      <c r="N138" s="318">
        <v>1</v>
      </c>
      <c r="O138" s="318">
        <v>1</v>
      </c>
      <c r="P138" s="318">
        <v>1</v>
      </c>
      <c r="Q138" s="318">
        <v>1</v>
      </c>
      <c r="R138" s="318">
        <v>1</v>
      </c>
      <c r="S138" s="318">
        <v>1</v>
      </c>
      <c r="T138" s="318">
        <v>1</v>
      </c>
      <c r="U138" s="318">
        <v>1</v>
      </c>
      <c r="V138" s="318">
        <v>1</v>
      </c>
      <c r="W138" s="318">
        <v>1</v>
      </c>
      <c r="X138" s="318">
        <v>1</v>
      </c>
      <c r="Y138" s="330"/>
      <c r="Z138" s="5">
        <f t="shared" si="5"/>
        <v>18</v>
      </c>
      <c r="AA138" s="5">
        <f t="shared" si="6"/>
        <v>576</v>
      </c>
    </row>
    <row r="139" spans="1:27" ht="15.75" customHeight="1">
      <c r="A139" s="108">
        <v>131</v>
      </c>
      <c r="B139" s="120" t="s">
        <v>271</v>
      </c>
      <c r="C139" s="121" t="s">
        <v>497</v>
      </c>
      <c r="D139" s="113"/>
      <c r="E139" s="69"/>
      <c r="F139" s="57"/>
      <c r="G139" s="5"/>
      <c r="H139" s="5"/>
      <c r="I139" s="5"/>
      <c r="J139" s="329">
        <v>1</v>
      </c>
      <c r="K139" s="329">
        <v>1</v>
      </c>
      <c r="L139" s="329">
        <v>1</v>
      </c>
      <c r="M139" s="5"/>
      <c r="N139" s="5"/>
      <c r="O139" s="5"/>
      <c r="P139" s="329">
        <v>1</v>
      </c>
      <c r="Q139" s="5"/>
      <c r="R139" s="329">
        <v>1</v>
      </c>
      <c r="S139" s="329">
        <v>1</v>
      </c>
      <c r="T139" s="330">
        <v>1</v>
      </c>
      <c r="U139" s="330">
        <v>1</v>
      </c>
      <c r="V139" s="330">
        <v>1</v>
      </c>
      <c r="W139" s="330">
        <v>1</v>
      </c>
      <c r="X139" s="330">
        <v>1</v>
      </c>
      <c r="Y139" s="5"/>
      <c r="Z139" s="5">
        <f t="shared" si="5"/>
        <v>11</v>
      </c>
      <c r="AA139" s="5">
        <f t="shared" si="6"/>
        <v>352</v>
      </c>
    </row>
    <row r="140" spans="1:27" ht="15.75" customHeight="1">
      <c r="A140" s="108">
        <v>132</v>
      </c>
      <c r="B140" s="120" t="s">
        <v>531</v>
      </c>
      <c r="C140" s="121" t="s">
        <v>520</v>
      </c>
      <c r="D140" s="113"/>
      <c r="E140" s="69"/>
      <c r="F140" s="57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>
        <f t="shared" si="5"/>
        <v>0</v>
      </c>
      <c r="AA140" s="5">
        <f t="shared" si="6"/>
        <v>0</v>
      </c>
    </row>
    <row r="141" spans="1:27" ht="15.75" customHeight="1">
      <c r="A141" s="108">
        <v>133</v>
      </c>
      <c r="B141" s="120" t="s">
        <v>181</v>
      </c>
      <c r="C141" s="121" t="s">
        <v>496</v>
      </c>
      <c r="D141" s="113"/>
      <c r="E141" s="69"/>
      <c r="F141" s="57"/>
      <c r="G141" s="318">
        <v>1</v>
      </c>
      <c r="H141" s="318">
        <v>1</v>
      </c>
      <c r="I141" s="318">
        <v>1</v>
      </c>
      <c r="J141" s="318">
        <v>1</v>
      </c>
      <c r="K141" s="318">
        <v>1</v>
      </c>
      <c r="L141" s="318">
        <v>1</v>
      </c>
      <c r="M141" s="318">
        <v>1</v>
      </c>
      <c r="N141" s="318">
        <v>1</v>
      </c>
      <c r="O141" s="318">
        <v>1</v>
      </c>
      <c r="P141" s="318">
        <v>1</v>
      </c>
      <c r="Q141" s="318">
        <v>1</v>
      </c>
      <c r="R141" s="318">
        <v>1</v>
      </c>
      <c r="S141" s="318">
        <v>1</v>
      </c>
      <c r="T141" s="318">
        <v>1</v>
      </c>
      <c r="U141" s="318">
        <v>1</v>
      </c>
      <c r="V141" s="318">
        <v>1</v>
      </c>
      <c r="W141" s="318">
        <v>1</v>
      </c>
      <c r="X141" s="318">
        <v>1</v>
      </c>
      <c r="Y141" s="330"/>
      <c r="Z141" s="5">
        <f t="shared" si="5"/>
        <v>18</v>
      </c>
      <c r="AA141" s="5">
        <f t="shared" si="6"/>
        <v>576</v>
      </c>
    </row>
    <row r="142" spans="1:27" ht="15.75" customHeight="1">
      <c r="A142" s="108">
        <v>134</v>
      </c>
      <c r="B142" s="120" t="s">
        <v>237</v>
      </c>
      <c r="C142" s="121" t="s">
        <v>492</v>
      </c>
      <c r="D142" s="113"/>
      <c r="E142" s="69"/>
      <c r="F142" s="193" t="s">
        <v>696</v>
      </c>
      <c r="G142" s="318">
        <v>1</v>
      </c>
      <c r="H142" s="318">
        <v>1</v>
      </c>
      <c r="I142" s="318">
        <v>1</v>
      </c>
      <c r="J142" s="318">
        <v>1</v>
      </c>
      <c r="K142" s="318">
        <v>1</v>
      </c>
      <c r="L142" s="318">
        <v>1</v>
      </c>
      <c r="M142" s="318">
        <v>1</v>
      </c>
      <c r="N142" s="318">
        <v>1</v>
      </c>
      <c r="O142" s="318">
        <v>1</v>
      </c>
      <c r="P142" s="318">
        <v>1</v>
      </c>
      <c r="Q142" s="318">
        <v>1</v>
      </c>
      <c r="R142" s="318">
        <v>1</v>
      </c>
      <c r="S142" s="318">
        <v>1</v>
      </c>
      <c r="T142" s="318">
        <v>1</v>
      </c>
      <c r="U142" s="318">
        <v>1</v>
      </c>
      <c r="V142" s="318">
        <v>1</v>
      </c>
      <c r="W142" s="318">
        <v>1</v>
      </c>
      <c r="X142" s="318">
        <v>1</v>
      </c>
      <c r="Y142" s="318"/>
      <c r="Z142" s="5">
        <f t="shared" si="5"/>
        <v>18</v>
      </c>
      <c r="AA142" s="5">
        <f t="shared" si="6"/>
        <v>576</v>
      </c>
    </row>
    <row r="143" spans="1:27" ht="15.75" customHeight="1">
      <c r="A143" s="108">
        <v>135</v>
      </c>
      <c r="B143" s="120" t="s">
        <v>566</v>
      </c>
      <c r="C143" s="121" t="s">
        <v>498</v>
      </c>
      <c r="D143" s="113"/>
      <c r="E143" s="69"/>
      <c r="F143" s="193" t="s">
        <v>654</v>
      </c>
      <c r="G143" s="5"/>
      <c r="H143" s="5"/>
      <c r="I143" s="5"/>
      <c r="J143" s="5"/>
      <c r="K143" s="318">
        <v>1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>
        <f t="shared" si="5"/>
        <v>1</v>
      </c>
      <c r="AA143" s="5">
        <f t="shared" si="6"/>
        <v>32</v>
      </c>
    </row>
    <row r="144" spans="1:27" ht="15.75" customHeight="1">
      <c r="A144" s="108">
        <v>136</v>
      </c>
      <c r="B144" s="120" t="s">
        <v>357</v>
      </c>
      <c r="C144" s="121" t="s">
        <v>501</v>
      </c>
      <c r="D144" s="113"/>
      <c r="E144" s="69"/>
      <c r="F144" s="5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>
        <f t="shared" si="5"/>
        <v>0</v>
      </c>
      <c r="AA144" s="5">
        <f t="shared" si="6"/>
        <v>0</v>
      </c>
    </row>
    <row r="145" spans="1:27" ht="15.75" customHeight="1">
      <c r="A145" s="108">
        <v>137</v>
      </c>
      <c r="B145" s="120" t="s">
        <v>124</v>
      </c>
      <c r="C145" s="121" t="s">
        <v>21</v>
      </c>
      <c r="D145" s="113"/>
      <c r="E145" s="69"/>
      <c r="F145" s="142" t="s">
        <v>554</v>
      </c>
      <c r="G145" s="329">
        <v>1</v>
      </c>
      <c r="H145" s="329">
        <v>1</v>
      </c>
      <c r="I145" s="329">
        <v>1</v>
      </c>
      <c r="J145" s="329">
        <v>1</v>
      </c>
      <c r="K145" s="329">
        <v>1</v>
      </c>
      <c r="L145" s="329">
        <v>1</v>
      </c>
      <c r="M145" s="329">
        <v>1</v>
      </c>
      <c r="N145" s="329">
        <v>1</v>
      </c>
      <c r="O145" s="329">
        <v>1</v>
      </c>
      <c r="P145" s="329">
        <v>1</v>
      </c>
      <c r="Q145" s="329">
        <v>1</v>
      </c>
      <c r="R145" s="329">
        <v>1</v>
      </c>
      <c r="S145" s="329">
        <v>1</v>
      </c>
      <c r="T145" s="329">
        <v>1</v>
      </c>
      <c r="U145" s="329">
        <v>1</v>
      </c>
      <c r="V145" s="329">
        <v>1</v>
      </c>
      <c r="W145" s="329">
        <v>1</v>
      </c>
      <c r="X145" s="329">
        <v>1</v>
      </c>
      <c r="Y145" s="329"/>
      <c r="Z145" s="5">
        <f t="shared" si="5"/>
        <v>18</v>
      </c>
      <c r="AA145" s="5">
        <f t="shared" si="6"/>
        <v>576</v>
      </c>
    </row>
    <row r="146" spans="1:27" ht="15.75" customHeight="1">
      <c r="A146" s="108">
        <v>138</v>
      </c>
      <c r="B146" s="120" t="s">
        <v>19</v>
      </c>
      <c r="C146" s="121" t="s">
        <v>497</v>
      </c>
      <c r="D146" s="113"/>
      <c r="E146" s="69"/>
      <c r="F146" s="193" t="s">
        <v>644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>
        <f t="shared" si="5"/>
        <v>0</v>
      </c>
      <c r="AA146" s="5">
        <f t="shared" si="6"/>
        <v>0</v>
      </c>
    </row>
    <row r="147" spans="1:27" ht="15.75" customHeight="1">
      <c r="A147" s="108">
        <v>139</v>
      </c>
      <c r="B147" s="120" t="s">
        <v>358</v>
      </c>
      <c r="C147" s="121" t="s">
        <v>64</v>
      </c>
      <c r="D147" s="113"/>
      <c r="E147" s="69"/>
      <c r="F147" s="50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>
        <f t="shared" si="5"/>
        <v>0</v>
      </c>
      <c r="AA147" s="5">
        <f t="shared" si="6"/>
        <v>0</v>
      </c>
    </row>
    <row r="148" spans="1:27" ht="15.75" customHeight="1">
      <c r="A148" s="108">
        <v>140</v>
      </c>
      <c r="B148" s="120" t="s">
        <v>624</v>
      </c>
      <c r="C148" s="121" t="s">
        <v>21</v>
      </c>
      <c r="D148" s="113"/>
      <c r="E148" s="69"/>
      <c r="F148" s="50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>
        <f t="shared" si="5"/>
        <v>0</v>
      </c>
      <c r="AA148" s="5">
        <f t="shared" si="6"/>
        <v>0</v>
      </c>
    </row>
    <row r="149" spans="1:27" ht="15.75" customHeight="1">
      <c r="A149" s="108">
        <v>141</v>
      </c>
      <c r="B149" s="120" t="s">
        <v>529</v>
      </c>
      <c r="C149" s="121" t="s">
        <v>496</v>
      </c>
      <c r="D149" s="113"/>
      <c r="E149" s="69"/>
      <c r="F149" s="5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>
        <f t="shared" si="5"/>
        <v>0</v>
      </c>
      <c r="AA149" s="5">
        <f t="shared" si="6"/>
        <v>0</v>
      </c>
    </row>
    <row r="150" spans="1:27" ht="15.75" customHeight="1">
      <c r="A150" s="108">
        <v>142</v>
      </c>
      <c r="B150" s="120" t="s">
        <v>359</v>
      </c>
      <c r="C150" s="121" t="s">
        <v>50</v>
      </c>
      <c r="D150" s="113"/>
      <c r="E150" s="69"/>
      <c r="F150" s="57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>
        <f t="shared" si="5"/>
        <v>0</v>
      </c>
      <c r="AA150" s="5">
        <f t="shared" si="6"/>
        <v>0</v>
      </c>
    </row>
    <row r="151" spans="1:27" ht="15.75" customHeight="1">
      <c r="A151" s="108">
        <v>143</v>
      </c>
      <c r="B151" s="134" t="s">
        <v>53</v>
      </c>
      <c r="C151" s="135" t="s">
        <v>496</v>
      </c>
      <c r="D151" s="136"/>
      <c r="E151" s="82"/>
      <c r="F151" s="57"/>
      <c r="G151" s="308">
        <v>1</v>
      </c>
      <c r="H151" s="314">
        <v>0</v>
      </c>
      <c r="I151" s="314">
        <v>0</v>
      </c>
      <c r="J151" s="314">
        <v>1</v>
      </c>
      <c r="K151" s="314">
        <v>1</v>
      </c>
      <c r="L151" s="314">
        <v>1</v>
      </c>
      <c r="M151" s="314">
        <v>1</v>
      </c>
      <c r="N151" s="314">
        <v>1</v>
      </c>
      <c r="O151" s="314">
        <v>1</v>
      </c>
      <c r="P151" s="314">
        <v>1</v>
      </c>
      <c r="Q151" s="314">
        <v>1</v>
      </c>
      <c r="R151" s="314">
        <v>1</v>
      </c>
      <c r="S151" s="314">
        <v>1</v>
      </c>
      <c r="T151" s="314">
        <v>1</v>
      </c>
      <c r="U151" s="314">
        <v>1</v>
      </c>
      <c r="V151" s="314">
        <v>1</v>
      </c>
      <c r="W151" s="314">
        <v>1</v>
      </c>
      <c r="X151" s="314">
        <v>1</v>
      </c>
      <c r="Y151" s="314"/>
      <c r="Z151" s="5">
        <f t="shared" si="5"/>
        <v>16</v>
      </c>
      <c r="AA151" s="5">
        <f t="shared" si="6"/>
        <v>512</v>
      </c>
    </row>
    <row r="152" spans="1:27" ht="15.75" customHeight="1">
      <c r="A152" s="108">
        <v>144</v>
      </c>
      <c r="B152" s="120" t="s">
        <v>405</v>
      </c>
      <c r="C152" s="121" t="s">
        <v>498</v>
      </c>
      <c r="D152" s="138"/>
      <c r="E152" s="117"/>
      <c r="F152" s="193" t="s">
        <v>640</v>
      </c>
      <c r="G152" s="10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5">
        <f t="shared" si="5"/>
        <v>0</v>
      </c>
      <c r="AA152" s="5">
        <f t="shared" si="6"/>
        <v>0</v>
      </c>
    </row>
    <row r="153" spans="1:27" ht="15.75" customHeight="1">
      <c r="A153" s="108">
        <v>145</v>
      </c>
      <c r="B153" s="119"/>
      <c r="C153" s="119"/>
      <c r="D153" s="137"/>
      <c r="E153" s="83"/>
      <c r="F153" s="11"/>
      <c r="G153" s="10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5">
        <f t="shared" si="5"/>
        <v>0</v>
      </c>
      <c r="AA153" s="5">
        <f t="shared" si="6"/>
        <v>0</v>
      </c>
    </row>
    <row r="154" spans="1:27" ht="15.75" customHeight="1">
      <c r="A154" s="108">
        <v>146</v>
      </c>
      <c r="B154" s="11"/>
      <c r="C154" s="11"/>
      <c r="D154" s="83"/>
      <c r="E154" s="83"/>
      <c r="F154" s="11"/>
      <c r="G154" s="10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5">
        <f t="shared" si="5"/>
        <v>0</v>
      </c>
      <c r="AA154" s="5">
        <f t="shared" si="6"/>
        <v>0</v>
      </c>
    </row>
    <row r="155" spans="1:27" ht="15.75" customHeight="1">
      <c r="A155" s="108">
        <v>147</v>
      </c>
      <c r="B155" s="11"/>
      <c r="C155" s="11"/>
      <c r="D155" s="83"/>
      <c r="E155" s="83"/>
      <c r="F155" s="11"/>
      <c r="G155" s="10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5">
        <f t="shared" si="5"/>
        <v>0</v>
      </c>
      <c r="AA155" s="5">
        <f t="shared" si="6"/>
        <v>0</v>
      </c>
    </row>
    <row r="156" spans="1:27" ht="15.75" customHeight="1">
      <c r="A156" s="108">
        <v>148</v>
      </c>
      <c r="B156" s="11"/>
      <c r="C156" s="11"/>
      <c r="D156" s="83"/>
      <c r="E156" s="83"/>
      <c r="F156" s="11"/>
      <c r="G156" s="10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5">
        <f t="shared" si="5"/>
        <v>0</v>
      </c>
      <c r="AA156" s="5">
        <f t="shared" si="6"/>
        <v>0</v>
      </c>
    </row>
    <row r="157" spans="1:27" ht="15.75" customHeight="1">
      <c r="A157" s="108">
        <v>149</v>
      </c>
      <c r="B157" s="11"/>
      <c r="C157" s="11"/>
      <c r="D157" s="83"/>
      <c r="E157" s="83"/>
      <c r="F157" s="11"/>
      <c r="G157" s="10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5">
        <f t="shared" si="5"/>
        <v>0</v>
      </c>
      <c r="AA157" s="5">
        <f t="shared" si="6"/>
        <v>0</v>
      </c>
    </row>
    <row r="158" spans="1:27" ht="15.75" customHeight="1">
      <c r="A158" s="108">
        <v>150</v>
      </c>
      <c r="B158" s="11"/>
      <c r="C158" s="11"/>
      <c r="D158" s="83"/>
      <c r="E158" s="83"/>
      <c r="F158" s="11"/>
      <c r="G158" s="10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5">
        <f t="shared" si="5"/>
        <v>0</v>
      </c>
      <c r="AA158" s="5">
        <f t="shared" si="6"/>
        <v>0</v>
      </c>
    </row>
    <row r="159" spans="1:27" ht="15.75" customHeight="1">
      <c r="A159" s="108">
        <v>151</v>
      </c>
      <c r="B159" s="11"/>
      <c r="C159" s="11"/>
      <c r="D159" s="83"/>
      <c r="E159" s="83"/>
      <c r="F159" s="11"/>
      <c r="G159" s="10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5">
        <f t="shared" si="5"/>
        <v>0</v>
      </c>
      <c r="AA159" s="5">
        <f t="shared" si="6"/>
        <v>0</v>
      </c>
    </row>
    <row r="160" spans="1:27" ht="15.75" customHeight="1" thickBot="1">
      <c r="A160" s="12"/>
      <c r="B160" s="12"/>
      <c r="C160" s="12"/>
      <c r="D160" s="12"/>
      <c r="E160" s="12"/>
      <c r="F160" s="23"/>
      <c r="G160" s="297">
        <f t="shared" ref="G160:Y160" si="7">SUM(G9:G159)</f>
        <v>65</v>
      </c>
      <c r="H160" s="297">
        <f t="shared" si="7"/>
        <v>52</v>
      </c>
      <c r="I160" s="297">
        <f t="shared" si="7"/>
        <v>57</v>
      </c>
      <c r="J160" s="297">
        <f t="shared" si="7"/>
        <v>64</v>
      </c>
      <c r="K160" s="297">
        <f t="shared" si="7"/>
        <v>55</v>
      </c>
      <c r="L160" s="297">
        <f t="shared" si="7"/>
        <v>57</v>
      </c>
      <c r="M160" s="297">
        <f t="shared" si="7"/>
        <v>58</v>
      </c>
      <c r="N160" s="297">
        <f t="shared" si="7"/>
        <v>58</v>
      </c>
      <c r="O160" s="297">
        <f t="shared" si="7"/>
        <v>59</v>
      </c>
      <c r="P160" s="297">
        <f t="shared" si="7"/>
        <v>55</v>
      </c>
      <c r="Q160" s="297">
        <f t="shared" si="7"/>
        <v>54</v>
      </c>
      <c r="R160" s="297">
        <f t="shared" si="7"/>
        <v>62</v>
      </c>
      <c r="S160" s="297">
        <f t="shared" si="7"/>
        <v>61</v>
      </c>
      <c r="T160" s="297">
        <f t="shared" si="7"/>
        <v>70</v>
      </c>
      <c r="U160" s="297">
        <f t="shared" si="7"/>
        <v>56</v>
      </c>
      <c r="V160" s="297">
        <f t="shared" si="7"/>
        <v>52</v>
      </c>
      <c r="W160" s="297">
        <f t="shared" si="7"/>
        <v>57</v>
      </c>
      <c r="X160" s="297">
        <f t="shared" si="7"/>
        <v>58</v>
      </c>
      <c r="Y160" s="297">
        <f t="shared" si="7"/>
        <v>0</v>
      </c>
      <c r="Z160" s="459"/>
      <c r="AA160" s="442"/>
    </row>
    <row r="161" spans="6:28" ht="15.75" customHeight="1" thickBot="1">
      <c r="F161" s="295"/>
      <c r="G161" s="460"/>
      <c r="H161" s="461"/>
      <c r="I161" s="461"/>
      <c r="J161" s="461"/>
      <c r="K161" s="461"/>
      <c r="L161" s="461"/>
      <c r="M161" s="461"/>
      <c r="N161" s="461"/>
      <c r="O161" s="461"/>
      <c r="P161" s="461"/>
      <c r="Q161" s="461"/>
      <c r="R161" s="461"/>
      <c r="S161" s="461"/>
      <c r="T161" s="461"/>
      <c r="U161" s="461"/>
      <c r="V161" s="461"/>
      <c r="W161" s="461"/>
      <c r="X161" s="461"/>
      <c r="Y161" s="462"/>
      <c r="Z161" s="256">
        <f>+SUM(Z9:Z159)</f>
        <v>1050</v>
      </c>
      <c r="AA161" s="299"/>
      <c r="AB161" s="295"/>
    </row>
    <row r="162" spans="6:28" ht="15.75" customHeight="1" thickBot="1">
      <c r="F162" s="295"/>
      <c r="G162" s="429"/>
      <c r="H162" s="430"/>
      <c r="I162" s="430"/>
      <c r="J162" s="430"/>
      <c r="K162" s="430"/>
      <c r="L162" s="430"/>
      <c r="M162" s="430"/>
      <c r="N162" s="430"/>
      <c r="O162" s="430"/>
      <c r="P162" s="430"/>
      <c r="Q162" s="430"/>
      <c r="R162" s="430"/>
      <c r="S162" s="430"/>
      <c r="T162" s="430"/>
      <c r="U162" s="430"/>
      <c r="V162" s="430"/>
      <c r="W162" s="430"/>
      <c r="X162" s="430"/>
      <c r="Y162" s="430"/>
      <c r="Z162" s="431"/>
      <c r="AA162" s="292">
        <f>SUM(AA9:AA159)</f>
        <v>33600</v>
      </c>
    </row>
    <row r="163" spans="6:28" ht="15.75" customHeight="1">
      <c r="G163" s="298"/>
      <c r="H163" s="295"/>
      <c r="I163" s="295"/>
      <c r="J163" s="295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</row>
    <row r="164" spans="6:28" ht="15.75" customHeight="1">
      <c r="G164" s="21"/>
    </row>
    <row r="165" spans="6:28" ht="15.75" customHeight="1">
      <c r="G165" s="21"/>
    </row>
    <row r="166" spans="6:28" ht="15.75" customHeight="1">
      <c r="G166" s="21"/>
    </row>
    <row r="167" spans="6:28" ht="15.75" customHeight="1">
      <c r="G167" s="21"/>
    </row>
    <row r="168" spans="6:28" ht="15.75" customHeight="1">
      <c r="G168" s="21"/>
    </row>
    <row r="169" spans="6:28" ht="15.75" customHeight="1">
      <c r="G169" s="21"/>
    </row>
    <row r="170" spans="6:28" ht="15.75" customHeight="1">
      <c r="G170" s="21"/>
    </row>
    <row r="171" spans="6:28" ht="15.75" customHeight="1">
      <c r="G171" s="21"/>
    </row>
    <row r="172" spans="6:28" ht="15.75" customHeight="1">
      <c r="G172" s="21"/>
    </row>
    <row r="173" spans="6:28" ht="15.75" customHeight="1">
      <c r="G173" s="21"/>
    </row>
    <row r="174" spans="6:28" ht="15.75" customHeight="1">
      <c r="G174" s="21"/>
    </row>
    <row r="175" spans="6:28" ht="15.75" customHeight="1">
      <c r="G175" s="21"/>
    </row>
    <row r="176" spans="6:28" ht="15.75" customHeight="1">
      <c r="G176" s="21"/>
    </row>
    <row r="177" spans="7:7" ht="15.75" customHeight="1">
      <c r="G177" s="21"/>
    </row>
    <row r="178" spans="7:7" ht="15.75" customHeight="1">
      <c r="G178" s="21"/>
    </row>
    <row r="179" spans="7:7" ht="15.75" customHeight="1">
      <c r="G179" s="21"/>
    </row>
    <row r="180" spans="7:7" ht="15.75" customHeight="1">
      <c r="G180" s="21"/>
    </row>
    <row r="181" spans="7:7" ht="15.75" customHeight="1">
      <c r="G181" s="21"/>
    </row>
    <row r="182" spans="7:7" ht="15.75" customHeight="1">
      <c r="G182" s="21"/>
    </row>
    <row r="183" spans="7:7" ht="15.75" customHeight="1">
      <c r="G183" s="21"/>
    </row>
    <row r="184" spans="7:7" ht="15.75" customHeight="1">
      <c r="G184" s="21"/>
    </row>
    <row r="185" spans="7:7" ht="15.75" customHeight="1">
      <c r="G185" s="21"/>
    </row>
    <row r="186" spans="7:7" ht="15.75" customHeight="1">
      <c r="G186" s="21"/>
    </row>
    <row r="187" spans="7:7" ht="15.75" customHeight="1">
      <c r="G187" s="21"/>
    </row>
    <row r="188" spans="7:7" ht="15.75" customHeight="1">
      <c r="G188" s="21"/>
    </row>
    <row r="189" spans="7:7" ht="15.75" customHeight="1">
      <c r="G189" s="21"/>
    </row>
    <row r="190" spans="7:7" ht="15.75" customHeight="1">
      <c r="G190" s="21"/>
    </row>
    <row r="191" spans="7:7" ht="15.75" customHeight="1">
      <c r="G191" s="21"/>
    </row>
    <row r="192" spans="7:7" ht="15.75" customHeight="1">
      <c r="G192" s="21"/>
    </row>
    <row r="193" spans="7:7" ht="15.75" customHeight="1">
      <c r="G193" s="21"/>
    </row>
    <row r="194" spans="7:7" ht="15.75" customHeight="1">
      <c r="G194" s="21"/>
    </row>
    <row r="195" spans="7:7" ht="15.75" customHeight="1">
      <c r="G195" s="21"/>
    </row>
    <row r="196" spans="7:7" ht="15.75" customHeight="1">
      <c r="G196" s="21"/>
    </row>
    <row r="197" spans="7:7" ht="15.75" customHeight="1">
      <c r="G197" s="21"/>
    </row>
    <row r="198" spans="7:7" ht="15.75" customHeight="1">
      <c r="G198" s="21"/>
    </row>
    <row r="199" spans="7:7" ht="15.75" customHeight="1">
      <c r="G199" s="21"/>
    </row>
    <row r="200" spans="7:7" ht="15.75" customHeight="1">
      <c r="G200" s="21"/>
    </row>
    <row r="201" spans="7:7" ht="15.75" customHeight="1">
      <c r="G201" s="21"/>
    </row>
    <row r="202" spans="7:7" ht="15.75" customHeight="1">
      <c r="G202" s="21"/>
    </row>
    <row r="203" spans="7:7" ht="15.75" customHeight="1">
      <c r="G203" s="21"/>
    </row>
    <row r="204" spans="7:7" ht="15.75" customHeight="1">
      <c r="G204" s="21"/>
    </row>
    <row r="205" spans="7:7" ht="15.75" customHeight="1">
      <c r="G205" s="21"/>
    </row>
    <row r="206" spans="7:7" ht="15.75" customHeight="1">
      <c r="G206" s="21"/>
    </row>
    <row r="207" spans="7:7" ht="15.75" customHeight="1">
      <c r="G207" s="21"/>
    </row>
    <row r="208" spans="7:7" ht="15.75" customHeight="1">
      <c r="G208" s="21"/>
    </row>
    <row r="209" spans="7:7" ht="15.75" customHeight="1">
      <c r="G209" s="21"/>
    </row>
    <row r="210" spans="7:7" ht="15.75" customHeight="1">
      <c r="G210" s="21"/>
    </row>
    <row r="211" spans="7:7" ht="15.75" customHeight="1">
      <c r="G211" s="21"/>
    </row>
    <row r="212" spans="7:7" ht="15.75" customHeight="1">
      <c r="G212" s="21"/>
    </row>
    <row r="213" spans="7:7" ht="15.75" customHeight="1">
      <c r="G213" s="21"/>
    </row>
    <row r="214" spans="7:7" ht="15.75" customHeight="1">
      <c r="G214" s="21"/>
    </row>
    <row r="215" spans="7:7" ht="15.75" customHeight="1">
      <c r="G215" s="21"/>
    </row>
    <row r="216" spans="7:7" ht="15.75" customHeight="1">
      <c r="G216" s="21"/>
    </row>
    <row r="217" spans="7:7" ht="15.75" customHeight="1">
      <c r="G217" s="21"/>
    </row>
    <row r="218" spans="7:7" ht="15.75" customHeight="1">
      <c r="G218" s="21"/>
    </row>
    <row r="219" spans="7:7" ht="15.75" customHeight="1">
      <c r="G219" s="21"/>
    </row>
    <row r="220" spans="7:7" ht="15.75" customHeight="1">
      <c r="G220" s="21"/>
    </row>
    <row r="221" spans="7:7" ht="15.75" customHeight="1">
      <c r="G221" s="21"/>
    </row>
    <row r="222" spans="7:7" ht="15.75" customHeight="1">
      <c r="G222" s="21"/>
    </row>
    <row r="223" spans="7:7" ht="15.75" customHeight="1">
      <c r="G223" s="21"/>
    </row>
    <row r="224" spans="7:7" ht="15.75" customHeight="1">
      <c r="G224" s="21"/>
    </row>
    <row r="225" spans="7:7" ht="15.75" customHeight="1">
      <c r="G225" s="21"/>
    </row>
    <row r="226" spans="7:7" ht="15.75" customHeight="1">
      <c r="G226" s="21"/>
    </row>
    <row r="227" spans="7:7" ht="15.75" customHeight="1">
      <c r="G227" s="21"/>
    </row>
    <row r="228" spans="7:7" ht="15.75" customHeight="1">
      <c r="G228" s="21"/>
    </row>
    <row r="229" spans="7:7" ht="15.75" customHeight="1">
      <c r="G229" s="21"/>
    </row>
    <row r="230" spans="7:7" ht="15.75" customHeight="1">
      <c r="G230" s="21"/>
    </row>
    <row r="231" spans="7:7" ht="15.75" customHeight="1">
      <c r="G231" s="21"/>
    </row>
    <row r="232" spans="7:7" ht="15.75" customHeight="1">
      <c r="G232" s="21"/>
    </row>
    <row r="233" spans="7:7" ht="15.75" customHeight="1">
      <c r="G233" s="21"/>
    </row>
    <row r="234" spans="7:7" ht="15.75" customHeight="1">
      <c r="G234" s="21"/>
    </row>
    <row r="235" spans="7:7" ht="15.75" customHeight="1">
      <c r="G235" s="21"/>
    </row>
    <row r="236" spans="7:7" ht="15.75" customHeight="1">
      <c r="G236" s="21"/>
    </row>
    <row r="237" spans="7:7" ht="15.75" customHeight="1">
      <c r="G237" s="21"/>
    </row>
    <row r="238" spans="7:7" ht="15.75" customHeight="1">
      <c r="G238" s="21"/>
    </row>
    <row r="239" spans="7:7" ht="15.75" customHeight="1">
      <c r="G239" s="21"/>
    </row>
    <row r="240" spans="7:7" ht="15.75" customHeight="1">
      <c r="G240" s="21"/>
    </row>
    <row r="241" spans="7:7" ht="15.75" customHeight="1">
      <c r="G241" s="21"/>
    </row>
    <row r="242" spans="7:7" ht="15.75" customHeight="1">
      <c r="G242" s="21"/>
    </row>
    <row r="243" spans="7:7" ht="15.75" customHeight="1">
      <c r="G243" s="21"/>
    </row>
    <row r="244" spans="7:7" ht="15.75" customHeight="1">
      <c r="G244" s="21"/>
    </row>
    <row r="245" spans="7:7" ht="15.75" customHeight="1">
      <c r="G245" s="21"/>
    </row>
    <row r="246" spans="7:7" ht="15.75" customHeight="1">
      <c r="G246" s="21"/>
    </row>
    <row r="247" spans="7:7" ht="15.75" customHeight="1">
      <c r="G247" s="21"/>
    </row>
    <row r="248" spans="7:7" ht="15.75" customHeight="1">
      <c r="G248" s="21"/>
    </row>
    <row r="249" spans="7:7" ht="15.75" customHeight="1">
      <c r="G249" s="21"/>
    </row>
    <row r="250" spans="7:7" ht="15.75" customHeight="1">
      <c r="G250" s="21"/>
    </row>
    <row r="251" spans="7:7" ht="15.75" customHeight="1">
      <c r="G251" s="21"/>
    </row>
    <row r="252" spans="7:7" ht="15.75" customHeight="1">
      <c r="G252" s="21"/>
    </row>
    <row r="253" spans="7:7" ht="15.75" customHeight="1">
      <c r="G253" s="21"/>
    </row>
    <row r="254" spans="7:7" ht="15.75" customHeight="1">
      <c r="G254" s="21"/>
    </row>
    <row r="255" spans="7:7" ht="15.75" customHeight="1">
      <c r="G255" s="21"/>
    </row>
    <row r="256" spans="7:7" ht="15.75" customHeight="1">
      <c r="G256" s="21"/>
    </row>
    <row r="257" spans="7:7" ht="15.75" customHeight="1">
      <c r="G257" s="21"/>
    </row>
    <row r="258" spans="7:7" ht="15.75" customHeight="1">
      <c r="G258" s="21"/>
    </row>
    <row r="259" spans="7:7" ht="15.75" customHeight="1">
      <c r="G259" s="21"/>
    </row>
    <row r="260" spans="7:7" ht="15.75" customHeight="1">
      <c r="G260" s="21"/>
    </row>
    <row r="261" spans="7:7" ht="15.75" customHeight="1">
      <c r="G261" s="21"/>
    </row>
    <row r="262" spans="7:7" ht="15.75" customHeight="1">
      <c r="G262" s="21"/>
    </row>
    <row r="263" spans="7:7" ht="15.75" customHeight="1">
      <c r="G263" s="21"/>
    </row>
    <row r="264" spans="7:7" ht="15.75" customHeight="1">
      <c r="G264" s="21"/>
    </row>
    <row r="265" spans="7:7" ht="15.75" customHeight="1">
      <c r="G265" s="21"/>
    </row>
    <row r="266" spans="7:7" ht="15.75" customHeight="1">
      <c r="G266" s="21"/>
    </row>
    <row r="267" spans="7:7" ht="15.75" customHeight="1">
      <c r="G267" s="21"/>
    </row>
    <row r="268" spans="7:7" ht="15.75" customHeight="1">
      <c r="G268" s="21"/>
    </row>
    <row r="269" spans="7:7" ht="15.75" customHeight="1">
      <c r="G269" s="21"/>
    </row>
    <row r="270" spans="7:7" ht="15.75" customHeight="1">
      <c r="G270" s="21"/>
    </row>
    <row r="271" spans="7:7" ht="15.75" customHeight="1">
      <c r="G271" s="21"/>
    </row>
    <row r="272" spans="7:7" ht="15.75" customHeight="1">
      <c r="G272" s="21"/>
    </row>
    <row r="273" spans="7:7" ht="15.75" customHeight="1">
      <c r="G273" s="21"/>
    </row>
    <row r="274" spans="7:7" ht="15.75" customHeight="1">
      <c r="G274" s="21"/>
    </row>
    <row r="275" spans="7:7" ht="15.75" customHeight="1">
      <c r="G275" s="21"/>
    </row>
    <row r="276" spans="7:7" ht="15.75" customHeight="1">
      <c r="G276" s="21"/>
    </row>
    <row r="277" spans="7:7" ht="15.75" customHeight="1">
      <c r="G277" s="21"/>
    </row>
    <row r="278" spans="7:7" ht="15.75" customHeight="1">
      <c r="G278" s="21"/>
    </row>
    <row r="279" spans="7:7" ht="15.75" customHeight="1">
      <c r="G279" s="21"/>
    </row>
    <row r="280" spans="7:7" ht="15.75" customHeight="1">
      <c r="G280" s="21"/>
    </row>
    <row r="281" spans="7:7" ht="15.75" customHeight="1">
      <c r="G281" s="21"/>
    </row>
    <row r="282" spans="7:7" ht="15.75" customHeight="1">
      <c r="G282" s="21"/>
    </row>
    <row r="283" spans="7:7" ht="15.75" customHeight="1">
      <c r="G283" s="21"/>
    </row>
    <row r="284" spans="7:7" ht="15.75" customHeight="1">
      <c r="G284" s="21"/>
    </row>
    <row r="285" spans="7:7" ht="15.75" customHeight="1">
      <c r="G285" s="21"/>
    </row>
    <row r="286" spans="7:7" ht="15.75" customHeight="1">
      <c r="G286" s="21"/>
    </row>
    <row r="287" spans="7:7" ht="15.75" customHeight="1">
      <c r="G287" s="21"/>
    </row>
    <row r="288" spans="7:7" ht="15.75" customHeight="1">
      <c r="G288" s="21"/>
    </row>
    <row r="289" spans="7:7" ht="15.75" customHeight="1">
      <c r="G289" s="21"/>
    </row>
    <row r="290" spans="7:7" ht="15.75" customHeight="1">
      <c r="G290" s="21"/>
    </row>
    <row r="291" spans="7:7" ht="15.75" customHeight="1">
      <c r="G291" s="21"/>
    </row>
    <row r="292" spans="7:7" ht="15.75" customHeight="1">
      <c r="G292" s="21"/>
    </row>
    <row r="293" spans="7:7" ht="15.75" customHeight="1">
      <c r="G293" s="21"/>
    </row>
    <row r="294" spans="7:7" ht="15.75" customHeight="1">
      <c r="G294" s="21"/>
    </row>
    <row r="295" spans="7:7" ht="15.75" customHeight="1">
      <c r="G295" s="21"/>
    </row>
    <row r="296" spans="7:7" ht="15.75" customHeight="1">
      <c r="G296" s="21"/>
    </row>
    <row r="297" spans="7:7" ht="15.75" customHeight="1">
      <c r="G297" s="21"/>
    </row>
    <row r="298" spans="7:7" ht="15.75" customHeight="1">
      <c r="G298" s="21"/>
    </row>
    <row r="299" spans="7:7" ht="15.75" customHeight="1">
      <c r="G299" s="21"/>
    </row>
    <row r="300" spans="7:7" ht="15.75" customHeight="1">
      <c r="G300" s="21"/>
    </row>
    <row r="301" spans="7:7" ht="15.75" customHeight="1">
      <c r="G301" s="21"/>
    </row>
    <row r="302" spans="7:7" ht="15.75" customHeight="1">
      <c r="G302" s="21"/>
    </row>
    <row r="303" spans="7:7" ht="15.75" customHeight="1">
      <c r="G303" s="21"/>
    </row>
    <row r="304" spans="7:7" ht="15.75" customHeight="1">
      <c r="G304" s="21"/>
    </row>
    <row r="305" spans="7:7" ht="15.75" customHeight="1">
      <c r="G305" s="21"/>
    </row>
    <row r="306" spans="7:7" ht="15.75" customHeight="1">
      <c r="G306" s="21"/>
    </row>
    <row r="307" spans="7:7" ht="15.75" customHeight="1">
      <c r="G307" s="21"/>
    </row>
    <row r="308" spans="7:7" ht="15.75" customHeight="1">
      <c r="G308" s="21"/>
    </row>
    <row r="309" spans="7:7" ht="15.75" customHeight="1">
      <c r="G309" s="21"/>
    </row>
    <row r="310" spans="7:7" ht="15.75" customHeight="1">
      <c r="G310" s="21"/>
    </row>
    <row r="311" spans="7:7" ht="15.75" customHeight="1">
      <c r="G311" s="21"/>
    </row>
    <row r="312" spans="7:7" ht="15.75" customHeight="1">
      <c r="G312" s="21"/>
    </row>
    <row r="313" spans="7:7" ht="15.75" customHeight="1">
      <c r="G313" s="21"/>
    </row>
    <row r="314" spans="7:7" ht="15.75" customHeight="1">
      <c r="G314" s="21"/>
    </row>
    <row r="315" spans="7:7" ht="15.75" customHeight="1">
      <c r="G315" s="21"/>
    </row>
    <row r="316" spans="7:7" ht="15.75" customHeight="1">
      <c r="G316" s="21"/>
    </row>
    <row r="317" spans="7:7" ht="15.75" customHeight="1">
      <c r="G317" s="21"/>
    </row>
    <row r="318" spans="7:7" ht="15.75" customHeight="1">
      <c r="G318" s="21"/>
    </row>
    <row r="319" spans="7:7" ht="15.75" customHeight="1">
      <c r="G319" s="21"/>
    </row>
    <row r="320" spans="7:7" ht="15.75" customHeight="1">
      <c r="G320" s="21"/>
    </row>
    <row r="321" spans="7:7" ht="15.75" customHeight="1">
      <c r="G321" s="21"/>
    </row>
    <row r="322" spans="7:7" ht="15.75" customHeight="1">
      <c r="G322" s="21"/>
    </row>
    <row r="323" spans="7:7" ht="15.75" customHeight="1">
      <c r="G323" s="21"/>
    </row>
    <row r="324" spans="7:7" ht="15.75" customHeight="1">
      <c r="G324" s="21"/>
    </row>
    <row r="325" spans="7:7" ht="15.75" customHeight="1">
      <c r="G325" s="21"/>
    </row>
    <row r="326" spans="7:7" ht="15.75" customHeight="1">
      <c r="G326" s="21"/>
    </row>
    <row r="327" spans="7:7" ht="15.75" customHeight="1">
      <c r="G327" s="21"/>
    </row>
    <row r="328" spans="7:7" ht="15.75" customHeight="1">
      <c r="G328" s="21"/>
    </row>
    <row r="329" spans="7:7" ht="15.75" customHeight="1">
      <c r="G329" s="21"/>
    </row>
    <row r="330" spans="7:7" ht="15.75" customHeight="1">
      <c r="G330" s="21"/>
    </row>
    <row r="331" spans="7:7" ht="15.75" customHeight="1">
      <c r="G331" s="21"/>
    </row>
    <row r="332" spans="7:7" ht="15.75" customHeight="1">
      <c r="G332" s="21"/>
    </row>
    <row r="333" spans="7:7" ht="15.75" customHeight="1">
      <c r="G333" s="21"/>
    </row>
    <row r="334" spans="7:7" ht="15.75" customHeight="1">
      <c r="G334" s="21"/>
    </row>
    <row r="335" spans="7:7" ht="15.75" customHeight="1">
      <c r="G335" s="21"/>
    </row>
    <row r="336" spans="7:7" ht="15.75" customHeight="1">
      <c r="G336" s="21"/>
    </row>
    <row r="337" spans="7:7" ht="15.75" customHeight="1">
      <c r="G337" s="21"/>
    </row>
    <row r="338" spans="7:7" ht="15.75" customHeight="1">
      <c r="G338" s="21"/>
    </row>
    <row r="339" spans="7:7" ht="15.75" customHeight="1">
      <c r="G339" s="21"/>
    </row>
    <row r="340" spans="7:7" ht="15.75" customHeight="1">
      <c r="G340" s="21"/>
    </row>
    <row r="341" spans="7:7" ht="15.75" customHeight="1">
      <c r="G341" s="21"/>
    </row>
    <row r="342" spans="7:7" ht="15.75" customHeight="1">
      <c r="G342" s="21"/>
    </row>
    <row r="343" spans="7:7" ht="15.75" customHeight="1">
      <c r="G343" s="21"/>
    </row>
    <row r="344" spans="7:7" ht="15.75" customHeight="1">
      <c r="G344" s="21"/>
    </row>
    <row r="345" spans="7:7" ht="15.75" customHeight="1"/>
    <row r="346" spans="7:7" ht="15.75" customHeight="1"/>
    <row r="347" spans="7:7" ht="15.75" customHeight="1"/>
    <row r="348" spans="7:7" ht="15.75" customHeight="1"/>
    <row r="349" spans="7:7" ht="15.75" customHeight="1"/>
    <row r="350" spans="7:7" ht="15.75" customHeight="1"/>
    <row r="351" spans="7:7" ht="15.75" customHeight="1"/>
    <row r="352" spans="7:7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</sheetData>
  <sortState ref="B9:W159">
    <sortCondition ref="B9:B159"/>
  </sortState>
  <mergeCells count="13">
    <mergeCell ref="G162:Z162"/>
    <mergeCell ref="A1:AA4"/>
    <mergeCell ref="A5:A8"/>
    <mergeCell ref="B5:B8"/>
    <mergeCell ref="C5:C8"/>
    <mergeCell ref="D5:D8"/>
    <mergeCell ref="E5:E8"/>
    <mergeCell ref="F5:F8"/>
    <mergeCell ref="Z5:Z8"/>
    <mergeCell ref="AA5:AA8"/>
    <mergeCell ref="Z160:AA160"/>
    <mergeCell ref="G5:Y5"/>
    <mergeCell ref="G161:Y161"/>
  </mergeCells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74"/>
  <sheetViews>
    <sheetView zoomScale="93" zoomScaleNormal="117" workbookViewId="0">
      <pane ySplit="8" topLeftCell="A28" activePane="bottomLeft" state="frozen"/>
      <selection pane="bottomLeft" activeCell="T42" sqref="T42:X42"/>
    </sheetView>
  </sheetViews>
  <sheetFormatPr baseColWidth="10" defaultColWidth="14.5" defaultRowHeight="15" customHeight="1"/>
  <cols>
    <col min="1" max="1" width="4.5" customWidth="1"/>
    <col min="2" max="2" width="27.5" customWidth="1"/>
    <col min="3" max="3" width="11.6640625" customWidth="1"/>
    <col min="4" max="4" width="10.5" customWidth="1"/>
    <col min="5" max="5" width="9.6640625" customWidth="1"/>
    <col min="6" max="6" width="43.6640625" customWidth="1"/>
    <col min="7" max="25" width="3.33203125" customWidth="1"/>
    <col min="26" max="27" width="10.6640625" customWidth="1"/>
  </cols>
  <sheetData>
    <row r="1" spans="1:27">
      <c r="A1" s="437" t="s">
        <v>634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</row>
    <row r="2" spans="1:27">
      <c r="A2" s="438"/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</row>
    <row r="3" spans="1:27">
      <c r="A3" s="438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</row>
    <row r="4" spans="1:27" ht="16" thickBot="1">
      <c r="A4" s="440"/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  <c r="Z4" s="441"/>
      <c r="AA4" s="441"/>
    </row>
    <row r="5" spans="1:27" ht="15" customHeight="1" thickBot="1">
      <c r="A5" s="443" t="s">
        <v>8</v>
      </c>
      <c r="B5" s="445" t="s">
        <v>0</v>
      </c>
      <c r="C5" s="445" t="s">
        <v>1</v>
      </c>
      <c r="D5" s="446" t="s">
        <v>2</v>
      </c>
      <c r="E5" s="446" t="s">
        <v>3</v>
      </c>
      <c r="F5" s="463" t="s">
        <v>9</v>
      </c>
      <c r="G5" s="451" t="s">
        <v>747</v>
      </c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3"/>
      <c r="Z5" s="432" t="s">
        <v>10</v>
      </c>
      <c r="AA5" s="432" t="s">
        <v>11</v>
      </c>
    </row>
    <row r="6" spans="1:27">
      <c r="A6" s="444"/>
      <c r="B6" s="433"/>
      <c r="C6" s="433"/>
      <c r="D6" s="447"/>
      <c r="E6" s="447"/>
      <c r="F6" s="438"/>
      <c r="G6" s="261" t="s">
        <v>12</v>
      </c>
      <c r="H6" s="261" t="s">
        <v>13</v>
      </c>
      <c r="I6" s="261" t="s">
        <v>13</v>
      </c>
      <c r="J6" s="261" t="s">
        <v>12</v>
      </c>
      <c r="K6" s="261" t="s">
        <v>13</v>
      </c>
      <c r="L6" s="261" t="s">
        <v>13</v>
      </c>
      <c r="M6" s="261" t="s">
        <v>14</v>
      </c>
      <c r="N6" s="261" t="s">
        <v>15</v>
      </c>
      <c r="O6" s="261" t="s">
        <v>12</v>
      </c>
      <c r="P6" s="261" t="s">
        <v>13</v>
      </c>
      <c r="Q6" s="261" t="s">
        <v>13</v>
      </c>
      <c r="R6" s="261" t="s">
        <v>14</v>
      </c>
      <c r="S6" s="261" t="s">
        <v>15</v>
      </c>
      <c r="T6" s="261" t="s">
        <v>12</v>
      </c>
      <c r="U6" s="261" t="s">
        <v>13</v>
      </c>
      <c r="V6" s="261" t="s">
        <v>13</v>
      </c>
      <c r="W6" s="261" t="s">
        <v>14</v>
      </c>
      <c r="X6" s="261" t="s">
        <v>15</v>
      </c>
      <c r="Y6" s="261" t="s">
        <v>12</v>
      </c>
      <c r="Z6" s="433"/>
      <c r="AA6" s="433"/>
    </row>
    <row r="7" spans="1:27">
      <c r="A7" s="444"/>
      <c r="B7" s="433"/>
      <c r="C7" s="433"/>
      <c r="D7" s="447"/>
      <c r="E7" s="447"/>
      <c r="F7" s="438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3">
        <v>13</v>
      </c>
      <c r="T7" s="3">
        <v>14</v>
      </c>
      <c r="U7" s="3">
        <v>15</v>
      </c>
      <c r="V7" s="3">
        <v>16</v>
      </c>
      <c r="W7" s="3">
        <v>17</v>
      </c>
      <c r="X7" s="3">
        <v>18</v>
      </c>
      <c r="Y7" s="3">
        <v>19</v>
      </c>
      <c r="Z7" s="433"/>
      <c r="AA7" s="433"/>
    </row>
    <row r="8" spans="1:27">
      <c r="A8" s="444"/>
      <c r="B8" s="434"/>
      <c r="C8" s="434"/>
      <c r="D8" s="447"/>
      <c r="E8" s="447"/>
      <c r="F8" s="440"/>
      <c r="G8" s="4">
        <v>3</v>
      </c>
      <c r="H8" s="4">
        <v>4</v>
      </c>
      <c r="I8" s="4">
        <v>5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17</v>
      </c>
      <c r="P8" s="4">
        <v>18</v>
      </c>
      <c r="Q8" s="4">
        <v>19</v>
      </c>
      <c r="R8" s="4">
        <v>20</v>
      </c>
      <c r="S8" s="4">
        <v>21</v>
      </c>
      <c r="T8" s="4">
        <v>24</v>
      </c>
      <c r="U8" s="4">
        <v>25</v>
      </c>
      <c r="V8" s="4">
        <v>26</v>
      </c>
      <c r="W8" s="4">
        <v>27</v>
      </c>
      <c r="X8" s="4">
        <v>28</v>
      </c>
      <c r="Y8" s="4">
        <v>31</v>
      </c>
      <c r="Z8" s="434"/>
      <c r="AA8" s="434"/>
    </row>
    <row r="9" spans="1:27" ht="15.75" customHeight="1">
      <c r="A9" s="1">
        <v>1</v>
      </c>
      <c r="B9" s="56" t="s">
        <v>360</v>
      </c>
      <c r="C9" s="57" t="s">
        <v>51</v>
      </c>
      <c r="D9" s="67"/>
      <c r="E9" s="67"/>
      <c r="F9" s="57"/>
      <c r="G9" s="10"/>
      <c r="H9" s="10"/>
      <c r="I9" s="10"/>
      <c r="J9" s="10"/>
      <c r="K9" s="10"/>
      <c r="L9" s="10"/>
      <c r="M9" s="10"/>
      <c r="N9" s="10"/>
      <c r="O9" s="10"/>
      <c r="P9" s="10"/>
      <c r="Q9" s="278"/>
      <c r="R9" s="10"/>
      <c r="S9" s="10"/>
      <c r="T9" s="10"/>
      <c r="U9" s="10"/>
      <c r="V9" s="10"/>
      <c r="W9" s="10"/>
      <c r="X9" s="10"/>
      <c r="Y9" s="10"/>
      <c r="Z9" s="5">
        <f t="shared" ref="Z9:Z10" si="0">+SUM(G9:Y9)</f>
        <v>0</v>
      </c>
      <c r="AA9" s="5">
        <f>+Z9*32</f>
        <v>0</v>
      </c>
    </row>
    <row r="10" spans="1:27" ht="15.75" customHeight="1">
      <c r="A10" s="1">
        <v>2</v>
      </c>
      <c r="B10" s="56" t="s">
        <v>361</v>
      </c>
      <c r="C10" s="57" t="s">
        <v>47</v>
      </c>
      <c r="D10" s="67"/>
      <c r="E10" s="67"/>
      <c r="F10" s="57"/>
      <c r="G10" s="308">
        <v>1</v>
      </c>
      <c r="H10" s="308">
        <v>1</v>
      </c>
      <c r="I10" s="308">
        <v>0</v>
      </c>
      <c r="J10" s="10"/>
      <c r="K10" s="10"/>
      <c r="L10" s="10"/>
      <c r="M10" s="390">
        <v>1</v>
      </c>
      <c r="N10" s="390">
        <v>0</v>
      </c>
      <c r="O10" s="390">
        <v>1</v>
      </c>
      <c r="P10" s="390">
        <v>0</v>
      </c>
      <c r="Q10" s="308">
        <v>1</v>
      </c>
      <c r="R10" s="308">
        <v>1</v>
      </c>
      <c r="S10" s="10"/>
      <c r="T10" s="390">
        <v>1</v>
      </c>
      <c r="U10" s="10"/>
      <c r="V10" s="10"/>
      <c r="W10" s="390">
        <v>0</v>
      </c>
      <c r="X10" s="390">
        <v>1</v>
      </c>
      <c r="Y10" s="307"/>
      <c r="Z10" s="5">
        <f t="shared" si="0"/>
        <v>8</v>
      </c>
      <c r="AA10" s="5">
        <f t="shared" ref="AA10" si="1">+Z10*32</f>
        <v>256</v>
      </c>
    </row>
    <row r="11" spans="1:27" ht="15.75" customHeight="1">
      <c r="A11" s="1">
        <v>3</v>
      </c>
      <c r="B11" s="56" t="s">
        <v>744</v>
      </c>
      <c r="C11" s="57" t="s">
        <v>480</v>
      </c>
      <c r="D11" s="67"/>
      <c r="E11" s="67"/>
      <c r="F11" s="173" t="s">
        <v>745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5">
        <f t="shared" ref="Z11:Z75" si="2">+SUM(G11:Y11)</f>
        <v>0</v>
      </c>
      <c r="AA11" s="5">
        <f t="shared" ref="AA11:AA75" si="3">+Z11*32</f>
        <v>0</v>
      </c>
    </row>
    <row r="12" spans="1:27" ht="15.75" customHeight="1">
      <c r="A12" s="1">
        <v>4</v>
      </c>
      <c r="B12" s="56" t="s">
        <v>592</v>
      </c>
      <c r="C12" s="57" t="s">
        <v>18</v>
      </c>
      <c r="D12" s="67"/>
      <c r="E12" s="67"/>
      <c r="F12" s="66"/>
      <c r="G12" s="10"/>
      <c r="H12" s="10"/>
      <c r="I12" s="308">
        <v>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308">
        <v>1</v>
      </c>
      <c r="Y12" s="10"/>
      <c r="Z12" s="5">
        <f t="shared" si="2"/>
        <v>2</v>
      </c>
      <c r="AA12" s="5">
        <f t="shared" si="3"/>
        <v>64</v>
      </c>
    </row>
    <row r="13" spans="1:27" ht="15.75" customHeight="1">
      <c r="A13" s="1">
        <v>5</v>
      </c>
      <c r="B13" s="56" t="s">
        <v>478</v>
      </c>
      <c r="C13" s="57" t="s">
        <v>51</v>
      </c>
      <c r="D13" s="67"/>
      <c r="E13" s="67"/>
      <c r="F13" s="66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5">
        <f t="shared" si="2"/>
        <v>0</v>
      </c>
      <c r="AA13" s="5">
        <f t="shared" si="3"/>
        <v>0</v>
      </c>
    </row>
    <row r="14" spans="1:27" ht="15.75" customHeight="1">
      <c r="A14" s="1">
        <v>6</v>
      </c>
      <c r="B14" s="56" t="s">
        <v>46</v>
      </c>
      <c r="C14" s="57" t="s">
        <v>51</v>
      </c>
      <c r="D14" s="67"/>
      <c r="E14" s="67"/>
      <c r="F14" s="245" t="s">
        <v>642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5">
        <f t="shared" si="2"/>
        <v>0</v>
      </c>
      <c r="AA14" s="5">
        <f t="shared" si="3"/>
        <v>0</v>
      </c>
    </row>
    <row r="15" spans="1:27" ht="15.75" customHeight="1">
      <c r="A15" s="1">
        <v>7</v>
      </c>
      <c r="B15" s="56" t="s">
        <v>267</v>
      </c>
      <c r="C15" s="57" t="s">
        <v>51</v>
      </c>
      <c r="D15" s="70"/>
      <c r="E15" s="71"/>
      <c r="F15" s="52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5">
        <f t="shared" si="2"/>
        <v>0</v>
      </c>
      <c r="AA15" s="5">
        <f t="shared" si="3"/>
        <v>0</v>
      </c>
    </row>
    <row r="16" spans="1:27" ht="15.75" customHeight="1">
      <c r="A16" s="1">
        <v>8</v>
      </c>
      <c r="B16" s="56" t="s">
        <v>362</v>
      </c>
      <c r="C16" s="57" t="s">
        <v>480</v>
      </c>
      <c r="D16" s="67"/>
      <c r="E16" s="67"/>
      <c r="F16" s="57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5">
        <f t="shared" si="2"/>
        <v>0</v>
      </c>
      <c r="AA16" s="5">
        <f t="shared" si="3"/>
        <v>0</v>
      </c>
    </row>
    <row r="17" spans="1:27" ht="15.75" customHeight="1">
      <c r="A17" s="1">
        <v>9</v>
      </c>
      <c r="B17" s="56" t="s">
        <v>363</v>
      </c>
      <c r="C17" s="57" t="s">
        <v>480</v>
      </c>
      <c r="D17" s="68"/>
      <c r="E17" s="68"/>
      <c r="F17" s="250" t="s">
        <v>730</v>
      </c>
      <c r="G17" s="328">
        <v>1</v>
      </c>
      <c r="H17" s="328">
        <v>1</v>
      </c>
      <c r="I17" s="328">
        <v>1</v>
      </c>
      <c r="J17" s="328">
        <v>1</v>
      </c>
      <c r="K17" s="328">
        <v>1</v>
      </c>
      <c r="L17" s="328">
        <v>1</v>
      </c>
      <c r="M17" s="328">
        <v>1</v>
      </c>
      <c r="N17" s="328">
        <v>1</v>
      </c>
      <c r="O17" s="307">
        <v>1</v>
      </c>
      <c r="P17" s="307">
        <v>1</v>
      </c>
      <c r="Q17" s="307">
        <v>1</v>
      </c>
      <c r="R17" s="307">
        <v>1</v>
      </c>
      <c r="S17" s="307">
        <v>1</v>
      </c>
      <c r="T17" s="307">
        <v>1</v>
      </c>
      <c r="U17" s="307">
        <v>1</v>
      </c>
      <c r="V17" s="307">
        <v>1</v>
      </c>
      <c r="W17" s="307">
        <v>1</v>
      </c>
      <c r="X17" s="307">
        <v>1</v>
      </c>
      <c r="Y17" s="307"/>
      <c r="Z17" s="5">
        <f t="shared" si="2"/>
        <v>18</v>
      </c>
      <c r="AA17" s="5">
        <f t="shared" si="3"/>
        <v>576</v>
      </c>
    </row>
    <row r="18" spans="1:27" ht="15.75" customHeight="1">
      <c r="A18" s="1">
        <v>10</v>
      </c>
      <c r="B18" s="56" t="s">
        <v>238</v>
      </c>
      <c r="C18" s="57" t="s">
        <v>480</v>
      </c>
      <c r="D18" s="68"/>
      <c r="E18" s="68"/>
      <c r="F18" s="57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5">
        <f t="shared" si="2"/>
        <v>0</v>
      </c>
      <c r="AA18" s="5">
        <f t="shared" si="3"/>
        <v>0</v>
      </c>
    </row>
    <row r="19" spans="1:27" ht="15.75" customHeight="1">
      <c r="A19" s="1">
        <v>11</v>
      </c>
      <c r="B19" s="56" t="s">
        <v>69</v>
      </c>
      <c r="C19" s="57" t="s">
        <v>47</v>
      </c>
      <c r="D19" s="67"/>
      <c r="E19" s="69"/>
      <c r="F19" s="6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5">
        <f t="shared" si="2"/>
        <v>0</v>
      </c>
      <c r="AA19" s="5">
        <f t="shared" si="3"/>
        <v>0</v>
      </c>
    </row>
    <row r="20" spans="1:27" ht="15.75" customHeight="1">
      <c r="A20" s="1">
        <v>12</v>
      </c>
      <c r="B20" s="56" t="s">
        <v>255</v>
      </c>
      <c r="C20" s="57" t="s">
        <v>18</v>
      </c>
      <c r="D20" s="67"/>
      <c r="E20" s="69"/>
      <c r="F20" s="401" t="s">
        <v>709</v>
      </c>
      <c r="G20" s="308">
        <v>1</v>
      </c>
      <c r="H20" s="308">
        <v>1</v>
      </c>
      <c r="I20" s="308">
        <v>1</v>
      </c>
      <c r="J20" s="308">
        <v>1</v>
      </c>
      <c r="K20" s="308">
        <v>1</v>
      </c>
      <c r="L20" s="308">
        <v>1</v>
      </c>
      <c r="M20" s="308">
        <v>1</v>
      </c>
      <c r="N20" s="308">
        <v>1</v>
      </c>
      <c r="O20" s="308">
        <v>1</v>
      </c>
      <c r="P20" s="308">
        <v>1</v>
      </c>
      <c r="Q20" s="308">
        <v>1</v>
      </c>
      <c r="R20" s="308">
        <v>1</v>
      </c>
      <c r="S20" s="308">
        <v>1</v>
      </c>
      <c r="T20" s="308">
        <v>1</v>
      </c>
      <c r="U20" s="308">
        <v>1</v>
      </c>
      <c r="V20" s="308">
        <v>1</v>
      </c>
      <c r="W20" s="308">
        <v>1</v>
      </c>
      <c r="X20" s="308">
        <v>1</v>
      </c>
      <c r="Y20" s="308"/>
      <c r="Z20" s="5">
        <f t="shared" si="2"/>
        <v>18</v>
      </c>
      <c r="AA20" s="5">
        <f t="shared" si="3"/>
        <v>576</v>
      </c>
    </row>
    <row r="21" spans="1:27" ht="15.75" customHeight="1">
      <c r="A21" s="1">
        <v>13</v>
      </c>
      <c r="B21" s="56" t="s">
        <v>628</v>
      </c>
      <c r="C21" s="57" t="s">
        <v>18</v>
      </c>
      <c r="D21" s="67"/>
      <c r="E21" s="69"/>
      <c r="F21" s="61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5">
        <f t="shared" si="2"/>
        <v>0</v>
      </c>
      <c r="AA21" s="5">
        <f t="shared" si="3"/>
        <v>0</v>
      </c>
    </row>
    <row r="22" spans="1:27" ht="15.75" customHeight="1">
      <c r="A22" s="1">
        <v>14</v>
      </c>
      <c r="B22" s="56" t="s">
        <v>364</v>
      </c>
      <c r="C22" s="57" t="s">
        <v>47</v>
      </c>
      <c r="D22" s="67"/>
      <c r="E22" s="69"/>
      <c r="F22" s="61"/>
      <c r="G22" s="10"/>
      <c r="H22" s="10"/>
      <c r="I22" s="10"/>
      <c r="J22" s="10"/>
      <c r="K22" s="10"/>
      <c r="L22" s="10"/>
      <c r="M22" s="308">
        <v>1</v>
      </c>
      <c r="N22" s="10"/>
      <c r="O22" s="10"/>
      <c r="P22" s="10"/>
      <c r="Q22" s="308">
        <v>1</v>
      </c>
      <c r="R22" s="10"/>
      <c r="S22" s="10"/>
      <c r="T22" s="10"/>
      <c r="U22" s="308">
        <v>1</v>
      </c>
      <c r="V22" s="10"/>
      <c r="W22" s="10"/>
      <c r="X22" s="10"/>
      <c r="Y22" s="10"/>
      <c r="Z22" s="5">
        <f t="shared" si="2"/>
        <v>3</v>
      </c>
      <c r="AA22" s="5">
        <f t="shared" si="3"/>
        <v>96</v>
      </c>
    </row>
    <row r="23" spans="1:27" ht="15.75" customHeight="1">
      <c r="A23" s="1">
        <v>15</v>
      </c>
      <c r="B23" s="56" t="s">
        <v>717</v>
      </c>
      <c r="C23" s="57" t="s">
        <v>18</v>
      </c>
      <c r="D23" s="67"/>
      <c r="E23" s="69"/>
      <c r="F23" s="61"/>
      <c r="G23" s="10"/>
      <c r="H23" s="10"/>
      <c r="I23" s="10"/>
      <c r="J23" s="10"/>
      <c r="K23" s="10"/>
      <c r="L23" s="10"/>
      <c r="M23" s="10"/>
      <c r="N23" s="308">
        <v>1</v>
      </c>
      <c r="O23" s="10"/>
      <c r="P23" s="10"/>
      <c r="Q23" s="10"/>
      <c r="R23" s="10"/>
      <c r="S23" s="10"/>
      <c r="T23" s="10"/>
      <c r="U23" s="10"/>
      <c r="V23" s="10"/>
      <c r="W23" s="10"/>
      <c r="X23" s="307">
        <v>1</v>
      </c>
      <c r="Y23" s="10"/>
      <c r="Z23" s="5">
        <f t="shared" si="2"/>
        <v>2</v>
      </c>
      <c r="AA23" s="5">
        <f t="shared" si="3"/>
        <v>64</v>
      </c>
    </row>
    <row r="24" spans="1:27">
      <c r="A24" s="1">
        <v>16</v>
      </c>
      <c r="B24" s="56" t="s">
        <v>229</v>
      </c>
      <c r="C24" s="57" t="s">
        <v>480</v>
      </c>
      <c r="D24" s="68"/>
      <c r="E24" s="68"/>
      <c r="F24" s="57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5">
        <f t="shared" si="2"/>
        <v>0</v>
      </c>
      <c r="AA24" s="5">
        <f t="shared" si="3"/>
        <v>0</v>
      </c>
    </row>
    <row r="25" spans="1:27">
      <c r="A25" s="1">
        <v>17</v>
      </c>
      <c r="B25" s="56" t="s">
        <v>152</v>
      </c>
      <c r="C25" s="57" t="s">
        <v>490</v>
      </c>
      <c r="D25" s="68"/>
      <c r="E25" s="68"/>
      <c r="F25" s="193" t="s">
        <v>796</v>
      </c>
      <c r="G25" s="308">
        <v>1</v>
      </c>
      <c r="H25" s="308">
        <v>1</v>
      </c>
      <c r="I25" s="308">
        <v>1</v>
      </c>
      <c r="J25" s="308">
        <v>1</v>
      </c>
      <c r="K25" s="308">
        <v>1</v>
      </c>
      <c r="L25" s="308">
        <v>1</v>
      </c>
      <c r="M25" s="308">
        <v>1</v>
      </c>
      <c r="N25" s="308">
        <v>1</v>
      </c>
      <c r="O25" s="308">
        <v>1</v>
      </c>
      <c r="P25" s="308">
        <v>1</v>
      </c>
      <c r="Q25" s="328">
        <v>1</v>
      </c>
      <c r="R25" s="57"/>
      <c r="S25" s="57"/>
      <c r="T25" s="308">
        <v>1</v>
      </c>
      <c r="U25" s="308">
        <v>1</v>
      </c>
      <c r="V25" s="308">
        <v>1</v>
      </c>
      <c r="W25" s="308">
        <v>1</v>
      </c>
      <c r="X25" s="308">
        <v>1</v>
      </c>
      <c r="Y25" s="57"/>
      <c r="Z25" s="5">
        <f t="shared" si="2"/>
        <v>16</v>
      </c>
      <c r="AA25" s="5">
        <f t="shared" si="3"/>
        <v>512</v>
      </c>
    </row>
    <row r="26" spans="1:27">
      <c r="A26" s="1">
        <v>18</v>
      </c>
      <c r="B26" s="56" t="s">
        <v>593</v>
      </c>
      <c r="C26" s="57" t="s">
        <v>506</v>
      </c>
      <c r="D26" s="68"/>
      <c r="E26" s="68"/>
      <c r="F26" s="57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5">
        <f t="shared" si="2"/>
        <v>0</v>
      </c>
      <c r="AA26" s="5">
        <f t="shared" si="3"/>
        <v>0</v>
      </c>
    </row>
    <row r="27" spans="1:27">
      <c r="A27" s="1">
        <v>19</v>
      </c>
      <c r="B27" s="56" t="s">
        <v>365</v>
      </c>
      <c r="C27" s="57" t="s">
        <v>47</v>
      </c>
      <c r="D27" s="67"/>
      <c r="E27" s="67"/>
      <c r="F27" s="193" t="s">
        <v>704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5">
        <f t="shared" si="2"/>
        <v>0</v>
      </c>
      <c r="AA27" s="5">
        <f t="shared" si="3"/>
        <v>0</v>
      </c>
    </row>
    <row r="28" spans="1:27">
      <c r="A28" s="1">
        <v>20</v>
      </c>
      <c r="B28" s="56" t="s">
        <v>289</v>
      </c>
      <c r="C28" s="57" t="s">
        <v>51</v>
      </c>
      <c r="D28" s="67"/>
      <c r="E28" s="67"/>
      <c r="F28" s="56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5">
        <f t="shared" si="2"/>
        <v>0</v>
      </c>
      <c r="AA28" s="5">
        <f t="shared" si="3"/>
        <v>0</v>
      </c>
    </row>
    <row r="29" spans="1:27">
      <c r="A29" s="1">
        <v>21</v>
      </c>
      <c r="B29" s="56" t="s">
        <v>569</v>
      </c>
      <c r="C29" s="57" t="s">
        <v>488</v>
      </c>
      <c r="D29" s="67"/>
      <c r="E29" s="67"/>
      <c r="F29" s="56"/>
      <c r="G29" s="308">
        <v>1</v>
      </c>
      <c r="H29" s="10"/>
      <c r="I29" s="10"/>
      <c r="J29" s="10"/>
      <c r="K29" s="308">
        <v>1</v>
      </c>
      <c r="L29" s="10"/>
      <c r="M29" s="10"/>
      <c r="N29" s="10"/>
      <c r="O29" s="308">
        <v>1</v>
      </c>
      <c r="P29" s="10"/>
      <c r="Q29" s="10"/>
      <c r="R29" s="10"/>
      <c r="S29" s="10"/>
      <c r="T29" s="308">
        <v>1</v>
      </c>
      <c r="U29" s="10"/>
      <c r="V29" s="10"/>
      <c r="W29" s="10"/>
      <c r="X29" s="307">
        <v>1</v>
      </c>
      <c r="Y29" s="10"/>
      <c r="Z29" s="5">
        <f t="shared" si="2"/>
        <v>5</v>
      </c>
      <c r="AA29" s="5">
        <f t="shared" si="3"/>
        <v>160</v>
      </c>
    </row>
    <row r="30" spans="1:27">
      <c r="A30" s="1">
        <v>22</v>
      </c>
      <c r="B30" s="56" t="s">
        <v>291</v>
      </c>
      <c r="C30" s="57" t="s">
        <v>488</v>
      </c>
      <c r="D30" s="67"/>
      <c r="E30" s="67"/>
      <c r="F30" s="57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5">
        <f t="shared" si="2"/>
        <v>0</v>
      </c>
      <c r="AA30" s="5">
        <f t="shared" si="3"/>
        <v>0</v>
      </c>
    </row>
    <row r="31" spans="1:27">
      <c r="A31" s="1">
        <v>23</v>
      </c>
      <c r="B31" s="56" t="s">
        <v>484</v>
      </c>
      <c r="C31" s="57" t="s">
        <v>51</v>
      </c>
      <c r="D31" s="67"/>
      <c r="E31" s="67"/>
      <c r="F31" s="57"/>
      <c r="G31" s="10"/>
      <c r="H31" s="10"/>
      <c r="I31" s="10"/>
      <c r="J31" s="10"/>
      <c r="K31" s="10"/>
      <c r="L31" s="10"/>
      <c r="M31" s="10"/>
      <c r="N31" s="10"/>
      <c r="O31" s="308">
        <v>1</v>
      </c>
      <c r="P31" s="308">
        <v>1</v>
      </c>
      <c r="Q31" s="308">
        <v>1</v>
      </c>
      <c r="R31" s="308">
        <v>1</v>
      </c>
      <c r="S31" s="308">
        <v>1</v>
      </c>
      <c r="T31" s="308">
        <v>1</v>
      </c>
      <c r="U31" s="308">
        <v>1</v>
      </c>
      <c r="V31" s="308">
        <v>1</v>
      </c>
      <c r="W31" s="308">
        <v>1</v>
      </c>
      <c r="X31" s="308">
        <v>1</v>
      </c>
      <c r="Y31" s="308"/>
      <c r="Z31" s="5">
        <f t="shared" si="2"/>
        <v>10</v>
      </c>
      <c r="AA31" s="5">
        <f t="shared" si="3"/>
        <v>320</v>
      </c>
    </row>
    <row r="32" spans="1:27">
      <c r="A32" s="1">
        <v>24</v>
      </c>
      <c r="B32" s="56" t="s">
        <v>104</v>
      </c>
      <c r="C32" s="57" t="s">
        <v>47</v>
      </c>
      <c r="D32" s="68"/>
      <c r="E32" s="68"/>
      <c r="F32" s="5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5">
        <f t="shared" si="2"/>
        <v>0</v>
      </c>
      <c r="AA32" s="5">
        <f t="shared" si="3"/>
        <v>0</v>
      </c>
    </row>
    <row r="33" spans="1:27" ht="15.75" customHeight="1">
      <c r="A33" s="1">
        <v>25</v>
      </c>
      <c r="B33" s="56" t="s">
        <v>708</v>
      </c>
      <c r="C33" s="57" t="s">
        <v>51</v>
      </c>
      <c r="D33" s="68"/>
      <c r="E33" s="68"/>
      <c r="F33" s="253" t="s">
        <v>758</v>
      </c>
      <c r="G33" s="308">
        <v>1</v>
      </c>
      <c r="H33" s="308">
        <v>1</v>
      </c>
      <c r="I33" s="308">
        <v>1</v>
      </c>
      <c r="J33" s="308">
        <v>1</v>
      </c>
      <c r="K33" s="308">
        <v>1</v>
      </c>
      <c r="L33" s="308">
        <v>1</v>
      </c>
      <c r="M33" s="308">
        <v>1</v>
      </c>
      <c r="N33" s="308">
        <v>1</v>
      </c>
      <c r="O33" s="308">
        <v>1</v>
      </c>
      <c r="P33" s="308">
        <v>1</v>
      </c>
      <c r="Q33" s="308">
        <v>1</v>
      </c>
      <c r="R33" s="308">
        <v>1</v>
      </c>
      <c r="S33" s="308">
        <v>1</v>
      </c>
      <c r="T33" s="308">
        <v>1</v>
      </c>
      <c r="U33" s="308">
        <v>1</v>
      </c>
      <c r="V33" s="308">
        <v>1</v>
      </c>
      <c r="W33" s="308">
        <v>1</v>
      </c>
      <c r="X33" s="308">
        <v>1</v>
      </c>
      <c r="Y33" s="308"/>
      <c r="Z33" s="5">
        <f t="shared" si="2"/>
        <v>18</v>
      </c>
      <c r="AA33" s="5">
        <f t="shared" si="3"/>
        <v>576</v>
      </c>
    </row>
    <row r="34" spans="1:27" ht="15.75" customHeight="1">
      <c r="A34" s="1">
        <v>26</v>
      </c>
      <c r="B34" s="56" t="s">
        <v>688</v>
      </c>
      <c r="C34" s="57" t="s">
        <v>51</v>
      </c>
      <c r="D34" s="67"/>
      <c r="E34" s="67"/>
      <c r="F34" s="57"/>
      <c r="G34" s="308">
        <v>1</v>
      </c>
      <c r="H34" s="308">
        <v>1</v>
      </c>
      <c r="I34" s="308">
        <v>1</v>
      </c>
      <c r="J34" s="308">
        <v>1</v>
      </c>
      <c r="K34" s="308">
        <v>1</v>
      </c>
      <c r="L34" s="308">
        <v>1</v>
      </c>
      <c r="M34" s="308">
        <v>1</v>
      </c>
      <c r="N34" s="308">
        <v>1</v>
      </c>
      <c r="O34" s="308">
        <v>1</v>
      </c>
      <c r="P34" s="308">
        <v>1</v>
      </c>
      <c r="Q34" s="308">
        <v>1</v>
      </c>
      <c r="R34" s="308">
        <v>1</v>
      </c>
      <c r="S34" s="308">
        <v>1</v>
      </c>
      <c r="T34" s="308">
        <v>1</v>
      </c>
      <c r="U34" s="308">
        <v>1</v>
      </c>
      <c r="V34" s="308">
        <v>1</v>
      </c>
      <c r="W34" s="308">
        <v>1</v>
      </c>
      <c r="X34" s="308">
        <v>1</v>
      </c>
      <c r="Y34" s="307"/>
      <c r="Z34" s="5">
        <f t="shared" si="2"/>
        <v>18</v>
      </c>
      <c r="AA34" s="5">
        <f t="shared" si="3"/>
        <v>576</v>
      </c>
    </row>
    <row r="35" spans="1:27" ht="15.75" customHeight="1">
      <c r="A35" s="1">
        <v>27</v>
      </c>
      <c r="B35" s="56" t="s">
        <v>293</v>
      </c>
      <c r="C35" s="57" t="s">
        <v>490</v>
      </c>
      <c r="D35" s="67"/>
      <c r="E35" s="67"/>
      <c r="F35" s="57"/>
      <c r="G35" s="10"/>
      <c r="H35" s="10"/>
      <c r="I35" s="10"/>
      <c r="J35" s="10"/>
      <c r="K35" s="10"/>
      <c r="L35" s="10"/>
      <c r="M35" s="10"/>
      <c r="N35" s="307">
        <v>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5">
        <f t="shared" si="2"/>
        <v>1</v>
      </c>
      <c r="AA35" s="5">
        <f t="shared" si="3"/>
        <v>32</v>
      </c>
    </row>
    <row r="36" spans="1:27" ht="15.75" customHeight="1">
      <c r="A36" s="1">
        <v>28</v>
      </c>
      <c r="B36" s="56" t="s">
        <v>263</v>
      </c>
      <c r="C36" s="57" t="s">
        <v>47</v>
      </c>
      <c r="D36" s="67"/>
      <c r="E36" s="69"/>
      <c r="F36" s="5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5">
        <f t="shared" si="2"/>
        <v>0</v>
      </c>
      <c r="AA36" s="5">
        <f t="shared" si="3"/>
        <v>0</v>
      </c>
    </row>
    <row r="37" spans="1:27">
      <c r="A37" s="1">
        <v>29</v>
      </c>
      <c r="B37" s="56" t="s">
        <v>368</v>
      </c>
      <c r="C37" s="57" t="s">
        <v>51</v>
      </c>
      <c r="D37" s="67"/>
      <c r="E37" s="72"/>
      <c r="F37" s="57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5">
        <f t="shared" si="2"/>
        <v>0</v>
      </c>
      <c r="AA37" s="5">
        <f t="shared" si="3"/>
        <v>0</v>
      </c>
    </row>
    <row r="38" spans="1:27" ht="15.75" customHeight="1">
      <c r="A38" s="1">
        <v>30</v>
      </c>
      <c r="B38" s="56" t="s">
        <v>219</v>
      </c>
      <c r="C38" s="57" t="s">
        <v>47</v>
      </c>
      <c r="D38" s="67"/>
      <c r="E38" s="72"/>
      <c r="F38" s="57"/>
      <c r="G38" s="308">
        <v>1</v>
      </c>
      <c r="H38" s="308">
        <v>1</v>
      </c>
      <c r="I38" s="308">
        <v>1</v>
      </c>
      <c r="J38" s="308">
        <v>1</v>
      </c>
      <c r="K38" s="308">
        <v>1</v>
      </c>
      <c r="L38" s="308">
        <v>1</v>
      </c>
      <c r="M38" s="308">
        <v>1</v>
      </c>
      <c r="N38" s="308">
        <v>1</v>
      </c>
      <c r="O38" s="308">
        <v>1</v>
      </c>
      <c r="P38" s="308">
        <v>1</v>
      </c>
      <c r="Q38" s="308">
        <v>1</v>
      </c>
      <c r="R38" s="308">
        <v>1</v>
      </c>
      <c r="S38" s="308">
        <v>1</v>
      </c>
      <c r="T38" s="308">
        <v>1</v>
      </c>
      <c r="U38" s="308">
        <v>1</v>
      </c>
      <c r="V38" s="308">
        <v>1</v>
      </c>
      <c r="W38" s="308">
        <v>1</v>
      </c>
      <c r="X38" s="308">
        <v>1</v>
      </c>
      <c r="Y38" s="57"/>
      <c r="Z38" s="5">
        <f t="shared" si="2"/>
        <v>18</v>
      </c>
      <c r="AA38" s="5">
        <f t="shared" si="3"/>
        <v>576</v>
      </c>
    </row>
    <row r="39" spans="1:27" ht="15.75" customHeight="1">
      <c r="A39" s="1">
        <v>31</v>
      </c>
      <c r="B39" s="56" t="s">
        <v>725</v>
      </c>
      <c r="C39" s="57" t="s">
        <v>506</v>
      </c>
      <c r="D39" s="67"/>
      <c r="E39" s="72"/>
      <c r="F39" s="193" t="s">
        <v>704</v>
      </c>
      <c r="G39" s="328">
        <v>1</v>
      </c>
      <c r="H39" s="328">
        <v>1</v>
      </c>
      <c r="I39" s="328">
        <v>1</v>
      </c>
      <c r="J39" s="308">
        <v>1</v>
      </c>
      <c r="K39" s="308">
        <v>1</v>
      </c>
      <c r="L39" s="308">
        <v>1</v>
      </c>
      <c r="M39" s="308">
        <v>1</v>
      </c>
      <c r="N39" s="308">
        <v>1</v>
      </c>
      <c r="O39" s="308">
        <v>1</v>
      </c>
      <c r="P39" s="308">
        <v>1</v>
      </c>
      <c r="Q39" s="308">
        <v>1</v>
      </c>
      <c r="R39" s="308">
        <v>1</v>
      </c>
      <c r="S39" s="308">
        <v>1</v>
      </c>
      <c r="T39" s="308">
        <v>1</v>
      </c>
      <c r="U39" s="308">
        <v>1</v>
      </c>
      <c r="V39" s="308">
        <v>0</v>
      </c>
      <c r="W39" s="308">
        <v>1</v>
      </c>
      <c r="X39" s="308">
        <v>1</v>
      </c>
      <c r="Y39" s="10"/>
      <c r="Z39" s="5">
        <f t="shared" si="2"/>
        <v>17</v>
      </c>
      <c r="AA39" s="5">
        <f t="shared" si="3"/>
        <v>544</v>
      </c>
    </row>
    <row r="40" spans="1:27" ht="15.75" customHeight="1">
      <c r="A40" s="1">
        <v>32</v>
      </c>
      <c r="B40" s="56" t="s">
        <v>369</v>
      </c>
      <c r="C40" s="57" t="s">
        <v>51</v>
      </c>
      <c r="D40" s="67"/>
      <c r="E40" s="69"/>
      <c r="F40" s="5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5">
        <f t="shared" si="2"/>
        <v>0</v>
      </c>
      <c r="AA40" s="5">
        <f t="shared" si="3"/>
        <v>0</v>
      </c>
    </row>
    <row r="41" spans="1:27" ht="15.75" customHeight="1">
      <c r="A41" s="1">
        <v>33</v>
      </c>
      <c r="B41" s="56" t="s">
        <v>618</v>
      </c>
      <c r="C41" s="57" t="s">
        <v>18</v>
      </c>
      <c r="D41" s="67"/>
      <c r="E41" s="69"/>
      <c r="F41" s="50"/>
      <c r="G41" s="10"/>
      <c r="H41" s="10"/>
      <c r="I41" s="10"/>
      <c r="J41" s="308">
        <v>1</v>
      </c>
      <c r="K41" s="10"/>
      <c r="L41" s="10"/>
      <c r="M41" s="308">
        <v>1</v>
      </c>
      <c r="N41" s="10"/>
      <c r="O41" s="10"/>
      <c r="P41" s="10"/>
      <c r="Q41" s="10"/>
      <c r="R41" s="10"/>
      <c r="S41" s="10"/>
      <c r="T41" s="57"/>
      <c r="U41" s="10"/>
      <c r="V41" s="10"/>
      <c r="W41" s="10"/>
      <c r="X41" s="10"/>
      <c r="Y41" s="10"/>
      <c r="Z41" s="5">
        <f t="shared" si="2"/>
        <v>2</v>
      </c>
      <c r="AA41" s="5">
        <f t="shared" si="3"/>
        <v>64</v>
      </c>
    </row>
    <row r="42" spans="1:27" ht="15.75" customHeight="1">
      <c r="A42" s="1">
        <v>34</v>
      </c>
      <c r="B42" s="56" t="s">
        <v>120</v>
      </c>
      <c r="C42" s="57" t="s">
        <v>47</v>
      </c>
      <c r="D42" s="67"/>
      <c r="E42" s="67"/>
      <c r="F42" s="57"/>
      <c r="G42" s="308">
        <v>1</v>
      </c>
      <c r="H42" s="308">
        <v>1</v>
      </c>
      <c r="I42" s="308">
        <v>1</v>
      </c>
      <c r="J42" s="308">
        <v>1</v>
      </c>
      <c r="K42" s="308">
        <v>1</v>
      </c>
      <c r="L42" s="57"/>
      <c r="M42" s="308">
        <v>1</v>
      </c>
      <c r="N42" s="308">
        <v>1</v>
      </c>
      <c r="O42" s="308">
        <v>1</v>
      </c>
      <c r="P42" s="308">
        <v>1</v>
      </c>
      <c r="Q42" s="308">
        <v>1</v>
      </c>
      <c r="R42" s="308">
        <v>1</v>
      </c>
      <c r="S42" s="308">
        <v>1</v>
      </c>
      <c r="T42" s="308">
        <v>1</v>
      </c>
      <c r="U42" s="308">
        <v>1</v>
      </c>
      <c r="V42" s="308">
        <v>1</v>
      </c>
      <c r="W42" s="308">
        <v>1</v>
      </c>
      <c r="X42" s="308">
        <v>1</v>
      </c>
      <c r="Y42" s="307"/>
      <c r="Z42" s="5">
        <f t="shared" si="2"/>
        <v>17</v>
      </c>
      <c r="AA42" s="5">
        <f t="shared" si="3"/>
        <v>544</v>
      </c>
    </row>
    <row r="43" spans="1:27">
      <c r="A43" s="1">
        <v>35</v>
      </c>
      <c r="B43" s="56" t="s">
        <v>171</v>
      </c>
      <c r="C43" s="57" t="s">
        <v>47</v>
      </c>
      <c r="D43" s="68"/>
      <c r="E43" s="68"/>
      <c r="F43" s="193" t="s">
        <v>770</v>
      </c>
      <c r="G43" s="308">
        <v>1</v>
      </c>
      <c r="H43" s="308">
        <v>1</v>
      </c>
      <c r="I43" s="308">
        <v>1</v>
      </c>
      <c r="J43" s="308">
        <v>1</v>
      </c>
      <c r="K43" s="308">
        <v>1</v>
      </c>
      <c r="L43" s="308">
        <v>1</v>
      </c>
      <c r="M43" s="308">
        <v>1</v>
      </c>
      <c r="N43" s="308">
        <v>1</v>
      </c>
      <c r="O43" s="308">
        <v>1</v>
      </c>
      <c r="P43" s="308">
        <v>1</v>
      </c>
      <c r="Q43" s="307">
        <v>1</v>
      </c>
      <c r="R43" s="307">
        <v>1</v>
      </c>
      <c r="S43" s="307">
        <v>1</v>
      </c>
      <c r="T43" s="307">
        <v>1</v>
      </c>
      <c r="U43" s="307">
        <v>1</v>
      </c>
      <c r="V43" s="307">
        <v>1</v>
      </c>
      <c r="W43" s="307">
        <v>1</v>
      </c>
      <c r="X43" s="307">
        <v>1</v>
      </c>
      <c r="Y43" s="307"/>
      <c r="Z43" s="5">
        <f t="shared" si="2"/>
        <v>18</v>
      </c>
      <c r="AA43" s="5">
        <f t="shared" si="3"/>
        <v>576</v>
      </c>
    </row>
    <row r="44" spans="1:27">
      <c r="A44" s="1">
        <v>36</v>
      </c>
      <c r="B44" s="49" t="s">
        <v>467</v>
      </c>
      <c r="C44" s="53" t="s">
        <v>18</v>
      </c>
      <c r="D44" s="68"/>
      <c r="E44" s="68"/>
      <c r="F44" s="193" t="s">
        <v>733</v>
      </c>
      <c r="G44" s="309">
        <v>1</v>
      </c>
      <c r="H44" s="309">
        <v>1</v>
      </c>
      <c r="I44" s="309">
        <v>1</v>
      </c>
      <c r="J44" s="309">
        <v>1</v>
      </c>
      <c r="K44" s="309">
        <v>1</v>
      </c>
      <c r="L44" s="309">
        <v>1</v>
      </c>
      <c r="M44" s="309">
        <v>1</v>
      </c>
      <c r="N44" s="309">
        <v>1</v>
      </c>
      <c r="O44" s="309">
        <v>1</v>
      </c>
      <c r="P44" s="309">
        <v>1</v>
      </c>
      <c r="Q44" s="309">
        <v>1</v>
      </c>
      <c r="R44" s="309">
        <v>1</v>
      </c>
      <c r="S44" s="309">
        <v>1</v>
      </c>
      <c r="T44" s="309">
        <v>1</v>
      </c>
      <c r="U44" s="309">
        <v>1</v>
      </c>
      <c r="V44" s="309">
        <v>1</v>
      </c>
      <c r="W44" s="309">
        <v>1</v>
      </c>
      <c r="X44" s="309">
        <v>1</v>
      </c>
      <c r="Y44" s="309"/>
      <c r="Z44" s="5">
        <f t="shared" si="2"/>
        <v>18</v>
      </c>
      <c r="AA44" s="5">
        <f t="shared" si="3"/>
        <v>576</v>
      </c>
    </row>
    <row r="45" spans="1:27">
      <c r="A45" s="1">
        <v>37</v>
      </c>
      <c r="B45" s="56" t="s">
        <v>110</v>
      </c>
      <c r="C45" s="57" t="s">
        <v>506</v>
      </c>
      <c r="D45" s="68"/>
      <c r="E45" s="68"/>
      <c r="F45" s="193" t="s">
        <v>672</v>
      </c>
      <c r="G45" s="307">
        <v>1</v>
      </c>
      <c r="H45" s="307">
        <v>1</v>
      </c>
      <c r="I45" s="307">
        <v>1</v>
      </c>
      <c r="J45" s="57"/>
      <c r="K45" s="307">
        <v>1</v>
      </c>
      <c r="L45" s="307">
        <v>1</v>
      </c>
      <c r="M45" s="307">
        <v>1</v>
      </c>
      <c r="N45" s="307">
        <v>1</v>
      </c>
      <c r="O45" s="307">
        <v>1</v>
      </c>
      <c r="P45" s="307">
        <v>1</v>
      </c>
      <c r="Q45" s="57"/>
      <c r="R45" s="307">
        <v>1</v>
      </c>
      <c r="S45" s="307">
        <v>1</v>
      </c>
      <c r="T45" s="307">
        <v>1</v>
      </c>
      <c r="U45" s="307">
        <v>1</v>
      </c>
      <c r="V45" s="307">
        <v>1</v>
      </c>
      <c r="W45" s="307">
        <v>1</v>
      </c>
      <c r="X45" s="307">
        <v>1</v>
      </c>
      <c r="Y45" s="307"/>
      <c r="Z45" s="5">
        <f t="shared" si="2"/>
        <v>16</v>
      </c>
      <c r="AA45" s="5">
        <f t="shared" si="3"/>
        <v>512</v>
      </c>
    </row>
    <row r="46" spans="1:27">
      <c r="A46" s="1">
        <v>38</v>
      </c>
      <c r="B46" s="56" t="s">
        <v>486</v>
      </c>
      <c r="C46" s="57" t="s">
        <v>18</v>
      </c>
      <c r="D46" s="68"/>
      <c r="E46" s="68"/>
      <c r="F46" s="193" t="s">
        <v>781</v>
      </c>
      <c r="G46" s="308">
        <v>1</v>
      </c>
      <c r="H46" s="308">
        <v>1</v>
      </c>
      <c r="I46" s="308">
        <v>1</v>
      </c>
      <c r="J46" s="308">
        <v>1</v>
      </c>
      <c r="K46" s="308">
        <v>1</v>
      </c>
      <c r="L46" s="308">
        <v>1</v>
      </c>
      <c r="M46" s="308">
        <v>1</v>
      </c>
      <c r="N46" s="328">
        <v>1</v>
      </c>
      <c r="O46" s="308">
        <v>1</v>
      </c>
      <c r="P46" s="308">
        <v>1</v>
      </c>
      <c r="Q46" s="308">
        <v>1</v>
      </c>
      <c r="R46" s="308">
        <v>1</v>
      </c>
      <c r="S46" s="308">
        <v>1</v>
      </c>
      <c r="T46" s="308">
        <v>1</v>
      </c>
      <c r="U46" s="308">
        <v>1</v>
      </c>
      <c r="V46" s="308">
        <v>1</v>
      </c>
      <c r="W46" s="308">
        <v>1</v>
      </c>
      <c r="X46" s="308">
        <v>1</v>
      </c>
      <c r="Y46" s="308"/>
      <c r="Z46" s="5">
        <f t="shared" si="2"/>
        <v>18</v>
      </c>
      <c r="AA46" s="5">
        <f t="shared" si="3"/>
        <v>576</v>
      </c>
    </row>
    <row r="47" spans="1:27">
      <c r="A47" s="1">
        <v>39</v>
      </c>
      <c r="B47" s="56" t="s">
        <v>580</v>
      </c>
      <c r="C47" s="57" t="s">
        <v>572</v>
      </c>
      <c r="D47" s="68"/>
      <c r="E47" s="68"/>
      <c r="F47" s="144" t="s">
        <v>757</v>
      </c>
      <c r="G47" s="308">
        <v>1</v>
      </c>
      <c r="H47" s="308">
        <v>1</v>
      </c>
      <c r="I47" s="308">
        <v>1</v>
      </c>
      <c r="J47" s="308">
        <v>1</v>
      </c>
      <c r="K47" s="308">
        <v>1</v>
      </c>
      <c r="L47" s="308">
        <v>1</v>
      </c>
      <c r="M47" s="308">
        <v>1</v>
      </c>
      <c r="N47" s="308">
        <v>1</v>
      </c>
      <c r="O47" s="308">
        <v>1</v>
      </c>
      <c r="P47" s="308">
        <v>1</v>
      </c>
      <c r="Q47" s="308">
        <v>1</v>
      </c>
      <c r="R47" s="308">
        <v>1</v>
      </c>
      <c r="S47" s="308">
        <v>1</v>
      </c>
      <c r="T47" s="308">
        <v>1</v>
      </c>
      <c r="U47" s="308">
        <v>1</v>
      </c>
      <c r="V47" s="308">
        <v>1</v>
      </c>
      <c r="W47" s="308">
        <v>1</v>
      </c>
      <c r="X47" s="308">
        <v>1</v>
      </c>
      <c r="Y47" s="308"/>
      <c r="Z47" s="5">
        <f t="shared" si="2"/>
        <v>18</v>
      </c>
      <c r="AA47" s="5">
        <f t="shared" si="3"/>
        <v>576</v>
      </c>
    </row>
    <row r="48" spans="1:27">
      <c r="A48" s="1">
        <v>40</v>
      </c>
      <c r="B48" s="56" t="s">
        <v>370</v>
      </c>
      <c r="C48" s="57" t="s">
        <v>51</v>
      </c>
      <c r="D48" s="68"/>
      <c r="E48" s="68"/>
      <c r="F48" s="57"/>
      <c r="G48" s="308">
        <v>1</v>
      </c>
      <c r="H48" s="308">
        <v>1</v>
      </c>
      <c r="I48" s="10"/>
      <c r="J48" s="308">
        <v>1</v>
      </c>
      <c r="K48" s="10"/>
      <c r="L48" s="10"/>
      <c r="M48" s="10"/>
      <c r="N48" s="10"/>
      <c r="O48" s="308">
        <v>1</v>
      </c>
      <c r="P48" s="10"/>
      <c r="Q48" s="10"/>
      <c r="R48" s="10"/>
      <c r="S48" s="10"/>
      <c r="T48" s="308">
        <v>1</v>
      </c>
      <c r="U48" s="10"/>
      <c r="V48" s="10"/>
      <c r="W48" s="10"/>
      <c r="X48" s="10"/>
      <c r="Y48" s="10"/>
      <c r="Z48" s="5">
        <f t="shared" si="2"/>
        <v>5</v>
      </c>
      <c r="AA48" s="5">
        <f t="shared" si="3"/>
        <v>160</v>
      </c>
    </row>
    <row r="49" spans="1:27">
      <c r="A49" s="1">
        <v>41</v>
      </c>
      <c r="B49" s="56" t="s">
        <v>485</v>
      </c>
      <c r="C49" s="57" t="s">
        <v>480</v>
      </c>
      <c r="D49" s="68"/>
      <c r="E49" s="68"/>
      <c r="F49" s="57"/>
      <c r="G49" s="10"/>
      <c r="H49" s="10"/>
      <c r="I49" s="10"/>
      <c r="J49" s="10"/>
      <c r="K49" s="10"/>
      <c r="L49" s="10"/>
      <c r="M49" s="10"/>
      <c r="N49" s="10"/>
      <c r="O49" s="308">
        <v>1</v>
      </c>
      <c r="P49" s="308">
        <v>1</v>
      </c>
      <c r="Q49" s="308">
        <v>1</v>
      </c>
      <c r="R49" s="308">
        <v>1</v>
      </c>
      <c r="S49" s="308">
        <v>1</v>
      </c>
      <c r="T49" s="308">
        <v>1</v>
      </c>
      <c r="U49" s="308">
        <v>1</v>
      </c>
      <c r="V49" s="308">
        <v>1</v>
      </c>
      <c r="W49" s="308">
        <v>1</v>
      </c>
      <c r="X49" s="308">
        <v>1</v>
      </c>
      <c r="Y49" s="308"/>
      <c r="Z49" s="5">
        <f t="shared" si="2"/>
        <v>10</v>
      </c>
      <c r="AA49" s="5">
        <f t="shared" si="3"/>
        <v>320</v>
      </c>
    </row>
    <row r="50" spans="1:27">
      <c r="A50" s="1">
        <v>42</v>
      </c>
      <c r="B50" s="56" t="s">
        <v>489</v>
      </c>
      <c r="C50" s="57" t="s">
        <v>490</v>
      </c>
      <c r="D50" s="68"/>
      <c r="E50" s="68"/>
      <c r="F50" s="57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5">
        <f t="shared" si="2"/>
        <v>0</v>
      </c>
      <c r="AA50" s="5">
        <f t="shared" si="3"/>
        <v>0</v>
      </c>
    </row>
    <row r="51" spans="1:27" ht="15.75" customHeight="1">
      <c r="A51" s="1">
        <v>43</v>
      </c>
      <c r="B51" s="56" t="s">
        <v>146</v>
      </c>
      <c r="C51" s="57" t="s">
        <v>51</v>
      </c>
      <c r="D51" s="68"/>
      <c r="E51" s="68"/>
      <c r="F51" s="57"/>
      <c r="G51" s="308">
        <v>1</v>
      </c>
      <c r="H51" s="10"/>
      <c r="I51" s="10"/>
      <c r="J51" s="10"/>
      <c r="K51" s="10"/>
      <c r="L51" s="308">
        <v>1</v>
      </c>
      <c r="M51" s="10"/>
      <c r="N51" s="308">
        <v>1</v>
      </c>
      <c r="O51" s="10"/>
      <c r="P51" s="10"/>
      <c r="Q51" s="10"/>
      <c r="R51" s="10"/>
      <c r="S51" s="10"/>
      <c r="T51" s="10"/>
      <c r="U51" s="10"/>
      <c r="V51" s="10"/>
      <c r="W51" s="10"/>
      <c r="X51" s="307">
        <v>1</v>
      </c>
      <c r="Y51" s="10"/>
      <c r="Z51" s="5">
        <f t="shared" si="2"/>
        <v>4</v>
      </c>
      <c r="AA51" s="5">
        <f t="shared" si="3"/>
        <v>128</v>
      </c>
    </row>
    <row r="52" spans="1:27" ht="15.75" customHeight="1">
      <c r="A52" s="1">
        <v>44</v>
      </c>
      <c r="B52" s="56" t="s">
        <v>371</v>
      </c>
      <c r="C52" s="57" t="s">
        <v>51</v>
      </c>
      <c r="D52" s="69"/>
      <c r="E52" s="69"/>
      <c r="F52" s="512" t="s">
        <v>704</v>
      </c>
      <c r="G52" s="308">
        <v>1</v>
      </c>
      <c r="H52" s="308">
        <v>1</v>
      </c>
      <c r="I52" s="308">
        <v>1</v>
      </c>
      <c r="J52" s="308">
        <v>1</v>
      </c>
      <c r="K52" s="308">
        <v>1</v>
      </c>
      <c r="L52" s="308">
        <v>1</v>
      </c>
      <c r="M52" s="308">
        <v>1</v>
      </c>
      <c r="N52" s="308">
        <v>1</v>
      </c>
      <c r="O52" s="308">
        <v>1</v>
      </c>
      <c r="P52" s="308">
        <v>1</v>
      </c>
      <c r="Q52" s="308">
        <v>1</v>
      </c>
      <c r="R52" s="308">
        <v>1</v>
      </c>
      <c r="S52" s="308">
        <v>1</v>
      </c>
      <c r="T52" s="308">
        <v>1</v>
      </c>
      <c r="U52" s="308">
        <v>1</v>
      </c>
      <c r="V52" s="308">
        <v>1</v>
      </c>
      <c r="W52" s="308">
        <v>1</v>
      </c>
      <c r="X52" s="308">
        <v>1</v>
      </c>
      <c r="Y52" s="308"/>
      <c r="Z52" s="5">
        <f t="shared" si="2"/>
        <v>18</v>
      </c>
      <c r="AA52" s="5">
        <f t="shared" si="3"/>
        <v>576</v>
      </c>
    </row>
    <row r="53" spans="1:27">
      <c r="A53" s="1">
        <v>45</v>
      </c>
      <c r="B53" s="56" t="s">
        <v>372</v>
      </c>
      <c r="C53" s="57" t="s">
        <v>51</v>
      </c>
      <c r="D53" s="67"/>
      <c r="E53" s="69"/>
      <c r="F53" s="5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5">
        <f t="shared" si="2"/>
        <v>0</v>
      </c>
      <c r="AA53" s="5">
        <f t="shared" si="3"/>
        <v>0</v>
      </c>
    </row>
    <row r="54" spans="1:27">
      <c r="A54" s="1">
        <v>46</v>
      </c>
      <c r="B54" s="56" t="s">
        <v>505</v>
      </c>
      <c r="C54" s="57" t="s">
        <v>506</v>
      </c>
      <c r="D54" s="67"/>
      <c r="E54" s="69"/>
      <c r="F54" s="50"/>
      <c r="G54" s="10"/>
      <c r="H54" s="10"/>
      <c r="I54" s="328">
        <v>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5">
        <f t="shared" si="2"/>
        <v>0</v>
      </c>
      <c r="AA54" s="5">
        <f t="shared" si="3"/>
        <v>0</v>
      </c>
    </row>
    <row r="55" spans="1:27" ht="15.75" customHeight="1">
      <c r="A55" s="1">
        <v>47</v>
      </c>
      <c r="B55" s="56" t="s">
        <v>373</v>
      </c>
      <c r="C55" s="57" t="s">
        <v>18</v>
      </c>
      <c r="D55" s="67"/>
      <c r="E55" s="67"/>
      <c r="F55" s="57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5">
        <f t="shared" si="2"/>
        <v>0</v>
      </c>
      <c r="AA55" s="5">
        <f t="shared" si="3"/>
        <v>0</v>
      </c>
    </row>
    <row r="56" spans="1:27" ht="15.75" customHeight="1">
      <c r="A56" s="1">
        <v>48</v>
      </c>
      <c r="B56" s="56" t="s">
        <v>579</v>
      </c>
      <c r="C56" s="57" t="s">
        <v>480</v>
      </c>
      <c r="D56" s="67"/>
      <c r="E56" s="67"/>
      <c r="F56" s="402" t="s">
        <v>632</v>
      </c>
      <c r="G56" s="308">
        <v>1</v>
      </c>
      <c r="H56" s="10"/>
      <c r="I56" s="379"/>
      <c r="J56" s="10"/>
      <c r="K56" s="10"/>
      <c r="L56" s="10"/>
      <c r="M56" s="10"/>
      <c r="N56" s="10"/>
      <c r="O56" s="307">
        <v>1</v>
      </c>
      <c r="P56" s="10"/>
      <c r="Q56" s="10"/>
      <c r="R56" s="10"/>
      <c r="S56" s="10"/>
      <c r="T56" s="307">
        <v>1</v>
      </c>
      <c r="U56" s="10"/>
      <c r="V56" s="10"/>
      <c r="W56" s="10"/>
      <c r="X56" s="10"/>
      <c r="Y56" s="10"/>
      <c r="Z56" s="5">
        <f t="shared" si="2"/>
        <v>3</v>
      </c>
      <c r="AA56" s="5">
        <f t="shared" si="3"/>
        <v>96</v>
      </c>
    </row>
    <row r="57" spans="1:27" ht="15.75" customHeight="1">
      <c r="A57" s="1">
        <v>49</v>
      </c>
      <c r="B57" s="56" t="s">
        <v>175</v>
      </c>
      <c r="C57" s="57" t="s">
        <v>480</v>
      </c>
      <c r="D57" s="67"/>
      <c r="E57" s="67"/>
      <c r="F57" s="193" t="s">
        <v>756</v>
      </c>
      <c r="G57" s="308">
        <v>1</v>
      </c>
      <c r="H57" s="308">
        <v>1</v>
      </c>
      <c r="I57" s="378">
        <v>1</v>
      </c>
      <c r="J57" s="308">
        <v>1</v>
      </c>
      <c r="K57" s="308">
        <v>1</v>
      </c>
      <c r="L57" s="308">
        <v>1</v>
      </c>
      <c r="M57" s="308">
        <v>1</v>
      </c>
      <c r="N57" s="308">
        <v>1</v>
      </c>
      <c r="O57" s="308">
        <v>1</v>
      </c>
      <c r="P57" s="308">
        <v>1</v>
      </c>
      <c r="Q57" s="308">
        <v>1</v>
      </c>
      <c r="R57" s="308">
        <v>1</v>
      </c>
      <c r="S57" s="308">
        <v>1</v>
      </c>
      <c r="T57" s="308">
        <v>1</v>
      </c>
      <c r="U57" s="308">
        <v>1</v>
      </c>
      <c r="V57" s="308">
        <v>1</v>
      </c>
      <c r="W57" s="308">
        <v>1</v>
      </c>
      <c r="X57" s="308">
        <v>1</v>
      </c>
      <c r="Y57" s="308"/>
      <c r="Z57" s="5">
        <f t="shared" si="2"/>
        <v>18</v>
      </c>
      <c r="AA57" s="5">
        <f t="shared" si="3"/>
        <v>576</v>
      </c>
    </row>
    <row r="58" spans="1:27" ht="15.75" customHeight="1">
      <c r="A58" s="1">
        <v>50</v>
      </c>
      <c r="B58" s="56" t="s">
        <v>127</v>
      </c>
      <c r="C58" s="57" t="s">
        <v>18</v>
      </c>
      <c r="D58" s="67"/>
      <c r="E58" s="69"/>
      <c r="F58" s="5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5">
        <f t="shared" si="2"/>
        <v>0</v>
      </c>
      <c r="AA58" s="5">
        <f t="shared" si="3"/>
        <v>0</v>
      </c>
    </row>
    <row r="59" spans="1:27" ht="15.75" customHeight="1">
      <c r="A59" s="1">
        <v>51</v>
      </c>
      <c r="B59" s="56" t="s">
        <v>471</v>
      </c>
      <c r="C59" s="57" t="s">
        <v>480</v>
      </c>
      <c r="D59" s="67"/>
      <c r="E59" s="69"/>
      <c r="F59" s="50"/>
      <c r="G59" s="308">
        <v>1</v>
      </c>
      <c r="H59" s="308">
        <v>1</v>
      </c>
      <c r="I59" s="308">
        <v>1</v>
      </c>
      <c r="J59" s="308">
        <v>1</v>
      </c>
      <c r="K59" s="308">
        <v>1</v>
      </c>
      <c r="L59" s="308">
        <v>1</v>
      </c>
      <c r="M59" s="308">
        <v>1</v>
      </c>
      <c r="N59" s="308">
        <v>1</v>
      </c>
      <c r="O59" s="308">
        <v>1</v>
      </c>
      <c r="P59" s="308">
        <v>1</v>
      </c>
      <c r="Q59" s="308">
        <v>1</v>
      </c>
      <c r="R59" s="308">
        <v>1</v>
      </c>
      <c r="S59" s="308">
        <v>1</v>
      </c>
      <c r="T59" s="308">
        <v>0</v>
      </c>
      <c r="U59" s="308">
        <v>1</v>
      </c>
      <c r="V59" s="308">
        <v>1</v>
      </c>
      <c r="W59" s="308">
        <v>1</v>
      </c>
      <c r="X59" s="308">
        <v>1</v>
      </c>
      <c r="Y59" s="308"/>
      <c r="Z59" s="5">
        <f t="shared" si="2"/>
        <v>17</v>
      </c>
      <c r="AA59" s="5">
        <f t="shared" si="3"/>
        <v>544</v>
      </c>
    </row>
    <row r="60" spans="1:27" ht="15.75" customHeight="1">
      <c r="A60" s="1">
        <v>52</v>
      </c>
      <c r="B60" s="56" t="s">
        <v>682</v>
      </c>
      <c r="C60" s="57" t="s">
        <v>488</v>
      </c>
      <c r="D60" s="67"/>
      <c r="E60" s="69"/>
      <c r="F60" s="226" t="s">
        <v>685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5">
        <f t="shared" si="2"/>
        <v>0</v>
      </c>
      <c r="AA60" s="5">
        <f t="shared" si="3"/>
        <v>0</v>
      </c>
    </row>
    <row r="61" spans="1:27" ht="15.75" customHeight="1">
      <c r="A61" s="1">
        <v>53</v>
      </c>
      <c r="B61" s="56" t="s">
        <v>576</v>
      </c>
      <c r="C61" s="57" t="s">
        <v>488</v>
      </c>
      <c r="D61" s="67"/>
      <c r="E61" s="69"/>
      <c r="F61" s="50"/>
      <c r="G61" s="308">
        <v>1</v>
      </c>
      <c r="H61" s="308">
        <v>1</v>
      </c>
      <c r="I61" s="308">
        <v>1</v>
      </c>
      <c r="J61" s="308">
        <v>1</v>
      </c>
      <c r="K61" s="10"/>
      <c r="L61" s="308">
        <v>1</v>
      </c>
      <c r="M61" s="10"/>
      <c r="N61" s="308">
        <v>1</v>
      </c>
      <c r="O61" s="308">
        <v>1</v>
      </c>
      <c r="P61" s="10"/>
      <c r="Q61" s="10"/>
      <c r="R61" s="10"/>
      <c r="S61" s="308">
        <v>1</v>
      </c>
      <c r="T61" s="308">
        <v>1</v>
      </c>
      <c r="U61" s="308">
        <v>1</v>
      </c>
      <c r="V61" s="307">
        <v>1</v>
      </c>
      <c r="W61" s="10"/>
      <c r="X61" s="10"/>
      <c r="Y61" s="10"/>
      <c r="Z61" s="5">
        <f t="shared" si="2"/>
        <v>11</v>
      </c>
      <c r="AA61" s="5">
        <f t="shared" si="3"/>
        <v>352</v>
      </c>
    </row>
    <row r="62" spans="1:27" ht="15.75" customHeight="1">
      <c r="A62" s="1">
        <v>54</v>
      </c>
      <c r="B62" s="56" t="s">
        <v>136</v>
      </c>
      <c r="C62" s="57" t="s">
        <v>47</v>
      </c>
      <c r="D62" s="67"/>
      <c r="E62" s="67"/>
      <c r="F62" s="57"/>
      <c r="G62" s="308">
        <v>1</v>
      </c>
      <c r="H62" s="308">
        <v>1</v>
      </c>
      <c r="I62" s="308">
        <v>1</v>
      </c>
      <c r="J62" s="57"/>
      <c r="K62" s="57"/>
      <c r="L62" s="57"/>
      <c r="M62" s="57"/>
      <c r="N62" s="57"/>
      <c r="O62" s="308">
        <v>1</v>
      </c>
      <c r="P62" s="308">
        <v>1</v>
      </c>
      <c r="Q62" s="308">
        <v>1</v>
      </c>
      <c r="R62" s="308">
        <v>1</v>
      </c>
      <c r="S62" s="308">
        <v>1</v>
      </c>
      <c r="T62" s="57"/>
      <c r="U62" s="57"/>
      <c r="V62" s="57"/>
      <c r="W62" s="57"/>
      <c r="X62" s="57"/>
      <c r="Y62" s="57"/>
      <c r="Z62" s="5">
        <f t="shared" si="2"/>
        <v>8</v>
      </c>
      <c r="AA62" s="5">
        <f t="shared" si="3"/>
        <v>256</v>
      </c>
    </row>
    <row r="63" spans="1:27" ht="15.75" customHeight="1">
      <c r="A63" s="1">
        <v>55</v>
      </c>
      <c r="B63" s="56" t="s">
        <v>374</v>
      </c>
      <c r="C63" s="57" t="s">
        <v>51</v>
      </c>
      <c r="D63" s="67"/>
      <c r="E63" s="67"/>
      <c r="F63" s="193" t="s">
        <v>672</v>
      </c>
      <c r="G63" s="371">
        <v>1</v>
      </c>
      <c r="H63" s="308">
        <v>1</v>
      </c>
      <c r="I63" s="308">
        <v>1</v>
      </c>
      <c r="J63" s="308">
        <v>1</v>
      </c>
      <c r="K63" s="308">
        <v>1</v>
      </c>
      <c r="L63" s="308">
        <v>1</v>
      </c>
      <c r="M63" s="308">
        <v>1</v>
      </c>
      <c r="N63" s="308">
        <v>1</v>
      </c>
      <c r="O63" s="308">
        <v>1</v>
      </c>
      <c r="P63" s="308">
        <v>1</v>
      </c>
      <c r="Q63" s="308">
        <v>1</v>
      </c>
      <c r="R63" s="308">
        <v>1</v>
      </c>
      <c r="S63" s="308">
        <v>1</v>
      </c>
      <c r="T63" s="308">
        <v>1</v>
      </c>
      <c r="U63" s="308">
        <v>1</v>
      </c>
      <c r="V63" s="308">
        <v>1</v>
      </c>
      <c r="W63" s="308">
        <v>1</v>
      </c>
      <c r="X63" s="308">
        <v>1</v>
      </c>
      <c r="Y63" s="307"/>
      <c r="Z63" s="5">
        <f t="shared" si="2"/>
        <v>18</v>
      </c>
      <c r="AA63" s="5">
        <f t="shared" si="3"/>
        <v>576</v>
      </c>
    </row>
    <row r="64" spans="1:27" ht="15.75" customHeight="1">
      <c r="A64" s="1">
        <v>56</v>
      </c>
      <c r="B64" s="56" t="s">
        <v>71</v>
      </c>
      <c r="C64" s="57" t="s">
        <v>480</v>
      </c>
      <c r="D64" s="67"/>
      <c r="E64" s="67"/>
      <c r="F64" s="142" t="s">
        <v>800</v>
      </c>
      <c r="G64" s="308">
        <v>1</v>
      </c>
      <c r="H64" s="308">
        <v>1</v>
      </c>
      <c r="I64" s="308">
        <v>1</v>
      </c>
      <c r="J64" s="308">
        <v>1</v>
      </c>
      <c r="K64" s="308">
        <v>1</v>
      </c>
      <c r="L64" s="308">
        <v>1</v>
      </c>
      <c r="M64" s="308">
        <v>1</v>
      </c>
      <c r="N64" s="308">
        <v>1</v>
      </c>
      <c r="O64" s="308">
        <v>1</v>
      </c>
      <c r="P64" s="308">
        <v>1</v>
      </c>
      <c r="Q64" s="308">
        <v>1</v>
      </c>
      <c r="R64" s="308">
        <v>1</v>
      </c>
      <c r="S64" s="308">
        <v>1</v>
      </c>
      <c r="T64" s="308">
        <v>1</v>
      </c>
      <c r="U64" s="308">
        <v>1</v>
      </c>
      <c r="V64" s="308">
        <v>1</v>
      </c>
      <c r="W64" s="308">
        <v>1</v>
      </c>
      <c r="X64" s="308">
        <v>1</v>
      </c>
      <c r="Y64" s="308"/>
      <c r="Z64" s="5">
        <f t="shared" si="2"/>
        <v>18</v>
      </c>
      <c r="AA64" s="5">
        <f t="shared" si="3"/>
        <v>576</v>
      </c>
    </row>
    <row r="65" spans="1:27" ht="15.75" customHeight="1">
      <c r="A65" s="1">
        <v>57</v>
      </c>
      <c r="B65" s="56" t="s">
        <v>259</v>
      </c>
      <c r="C65" s="57" t="s">
        <v>490</v>
      </c>
      <c r="D65" s="67"/>
      <c r="E65" s="67"/>
      <c r="F65" s="193" t="s">
        <v>723</v>
      </c>
      <c r="G65" s="307">
        <v>1</v>
      </c>
      <c r="H65" s="307">
        <v>1</v>
      </c>
      <c r="I65" s="307">
        <v>1</v>
      </c>
      <c r="J65" s="307">
        <v>1</v>
      </c>
      <c r="K65" s="307">
        <v>1</v>
      </c>
      <c r="L65" s="307">
        <v>1</v>
      </c>
      <c r="M65" s="307">
        <v>1</v>
      </c>
      <c r="N65" s="307">
        <v>1</v>
      </c>
      <c r="O65" s="307">
        <v>1</v>
      </c>
      <c r="P65" s="307">
        <v>1</v>
      </c>
      <c r="Q65" s="307">
        <v>1</v>
      </c>
      <c r="R65" s="307">
        <v>1</v>
      </c>
      <c r="S65" s="307">
        <v>1</v>
      </c>
      <c r="T65" s="307">
        <v>1</v>
      </c>
      <c r="U65" s="307">
        <v>0</v>
      </c>
      <c r="V65" s="307">
        <v>0</v>
      </c>
      <c r="W65" s="307">
        <v>1</v>
      </c>
      <c r="X65" s="307">
        <v>1</v>
      </c>
      <c r="Y65" s="307"/>
      <c r="Z65" s="5">
        <f t="shared" si="2"/>
        <v>16</v>
      </c>
      <c r="AA65" s="5">
        <f t="shared" si="3"/>
        <v>512</v>
      </c>
    </row>
    <row r="66" spans="1:27" ht="15.75" customHeight="1">
      <c r="A66" s="1">
        <v>58</v>
      </c>
      <c r="B66" s="56" t="s">
        <v>692</v>
      </c>
      <c r="C66" s="57" t="s">
        <v>490</v>
      </c>
      <c r="D66" s="67"/>
      <c r="E66" s="67"/>
      <c r="F66" s="57"/>
      <c r="G66" s="308">
        <v>1</v>
      </c>
      <c r="H66" s="10"/>
      <c r="I66" s="10"/>
      <c r="J66" s="308">
        <v>1</v>
      </c>
      <c r="K66" s="10"/>
      <c r="L66" s="10"/>
      <c r="M66" s="10"/>
      <c r="N66" s="10"/>
      <c r="O66" s="308">
        <v>1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5">
        <f t="shared" si="2"/>
        <v>3</v>
      </c>
      <c r="AA66" s="5">
        <f t="shared" si="3"/>
        <v>96</v>
      </c>
    </row>
    <row r="67" spans="1:27" ht="15.75" customHeight="1">
      <c r="A67" s="1">
        <v>59</v>
      </c>
      <c r="B67" s="56" t="s">
        <v>375</v>
      </c>
      <c r="C67" s="57" t="s">
        <v>47</v>
      </c>
      <c r="D67" s="67"/>
      <c r="E67" s="67"/>
      <c r="F67" s="66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5">
        <f t="shared" si="2"/>
        <v>0</v>
      </c>
      <c r="AA67" s="5">
        <f t="shared" si="3"/>
        <v>0</v>
      </c>
    </row>
    <row r="68" spans="1:27" s="380" customFormat="1" ht="15.75" customHeight="1">
      <c r="A68" s="1">
        <v>60</v>
      </c>
      <c r="B68" s="56" t="s">
        <v>767</v>
      </c>
      <c r="C68" s="57" t="s">
        <v>490</v>
      </c>
      <c r="D68" s="67"/>
      <c r="E68" s="67"/>
      <c r="F68" s="66"/>
      <c r="G68" s="10"/>
      <c r="H68" s="10"/>
      <c r="I68" s="10"/>
      <c r="J68" s="308">
        <v>1</v>
      </c>
      <c r="K68" s="10"/>
      <c r="L68" s="274"/>
      <c r="M68" s="274"/>
      <c r="N68" s="274"/>
      <c r="O68" s="274"/>
      <c r="P68" s="274"/>
      <c r="Q68" s="274"/>
      <c r="R68" s="274"/>
      <c r="S68" s="10"/>
      <c r="T68" s="10"/>
      <c r="U68" s="10"/>
      <c r="V68" s="10"/>
      <c r="W68" s="10"/>
      <c r="X68" s="10"/>
      <c r="Y68" s="10"/>
      <c r="Z68" s="5"/>
      <c r="AA68" s="5"/>
    </row>
    <row r="69" spans="1:27" ht="15.75" customHeight="1">
      <c r="A69" s="1">
        <v>61</v>
      </c>
      <c r="B69" s="56" t="s">
        <v>556</v>
      </c>
      <c r="C69" s="57" t="s">
        <v>488</v>
      </c>
      <c r="D69" s="67"/>
      <c r="E69" s="67"/>
      <c r="F69" s="66"/>
      <c r="G69" s="308">
        <v>1</v>
      </c>
      <c r="H69" s="308">
        <v>1</v>
      </c>
      <c r="I69" s="308">
        <v>1</v>
      </c>
      <c r="J69" s="308">
        <v>1</v>
      </c>
      <c r="K69" s="308">
        <v>1</v>
      </c>
      <c r="L69" s="348">
        <v>1</v>
      </c>
      <c r="M69" s="348">
        <v>1</v>
      </c>
      <c r="N69" s="348">
        <v>1</v>
      </c>
      <c r="O69" s="348">
        <v>1</v>
      </c>
      <c r="P69" s="348">
        <v>1</v>
      </c>
      <c r="Q69" s="348">
        <v>1</v>
      </c>
      <c r="R69" s="348">
        <v>1</v>
      </c>
      <c r="S69" s="308">
        <v>1</v>
      </c>
      <c r="T69" s="307">
        <v>1</v>
      </c>
      <c r="U69" s="307">
        <v>1</v>
      </c>
      <c r="V69" s="307">
        <v>1</v>
      </c>
      <c r="W69" s="307">
        <v>1</v>
      </c>
      <c r="X69" s="307">
        <v>1</v>
      </c>
      <c r="Y69" s="307"/>
      <c r="Z69" s="5">
        <f t="shared" si="2"/>
        <v>18</v>
      </c>
      <c r="AA69" s="5">
        <f t="shared" si="3"/>
        <v>576</v>
      </c>
    </row>
    <row r="70" spans="1:27" ht="15.75" customHeight="1">
      <c r="A70" s="1">
        <v>62</v>
      </c>
      <c r="B70" s="56" t="s">
        <v>297</v>
      </c>
      <c r="C70" s="57" t="s">
        <v>488</v>
      </c>
      <c r="D70" s="67"/>
      <c r="E70" s="67"/>
      <c r="F70" s="142" t="s">
        <v>731</v>
      </c>
      <c r="G70" s="328">
        <v>0</v>
      </c>
      <c r="H70" s="328">
        <v>0</v>
      </c>
      <c r="I70" s="328">
        <v>0</v>
      </c>
      <c r="J70" s="328">
        <v>0</v>
      </c>
      <c r="K70" s="279"/>
      <c r="L70" s="280"/>
      <c r="M70" s="280"/>
      <c r="N70" s="392">
        <v>0</v>
      </c>
      <c r="O70" s="392">
        <v>0</v>
      </c>
      <c r="P70" s="392">
        <v>0</v>
      </c>
      <c r="Q70" s="392">
        <v>0</v>
      </c>
      <c r="R70" s="280"/>
      <c r="S70" s="10"/>
      <c r="T70" s="10"/>
      <c r="U70" s="328">
        <v>0</v>
      </c>
      <c r="V70" s="10"/>
      <c r="W70" s="10"/>
      <c r="X70" s="10"/>
      <c r="Y70" s="10"/>
      <c r="Z70" s="5">
        <f t="shared" si="2"/>
        <v>0</v>
      </c>
      <c r="AA70" s="5">
        <f t="shared" si="3"/>
        <v>0</v>
      </c>
    </row>
    <row r="71" spans="1:27" ht="15.75" customHeight="1">
      <c r="A71" s="1">
        <v>63</v>
      </c>
      <c r="B71" s="56" t="s">
        <v>111</v>
      </c>
      <c r="C71" s="57" t="s">
        <v>572</v>
      </c>
      <c r="D71" s="68"/>
      <c r="E71" s="68"/>
      <c r="F71" s="57"/>
      <c r="G71" s="307">
        <v>1</v>
      </c>
      <c r="H71" s="307">
        <v>1</v>
      </c>
      <c r="I71" s="307">
        <v>1</v>
      </c>
      <c r="J71" s="57"/>
      <c r="K71" s="349">
        <v>1</v>
      </c>
      <c r="L71" s="350">
        <v>1</v>
      </c>
      <c r="M71" s="350">
        <v>1</v>
      </c>
      <c r="N71" s="350">
        <v>1</v>
      </c>
      <c r="O71" s="350">
        <v>1</v>
      </c>
      <c r="P71" s="350">
        <v>1</v>
      </c>
      <c r="Q71" s="423"/>
      <c r="R71" s="350">
        <v>1</v>
      </c>
      <c r="S71" s="307">
        <v>1</v>
      </c>
      <c r="T71" s="307">
        <v>1</v>
      </c>
      <c r="U71" s="307">
        <v>1</v>
      </c>
      <c r="V71" s="307">
        <v>1</v>
      </c>
      <c r="W71" s="307">
        <v>1</v>
      </c>
      <c r="X71" s="307">
        <v>1</v>
      </c>
      <c r="Y71" s="307"/>
      <c r="Z71" s="5">
        <f t="shared" si="2"/>
        <v>16</v>
      </c>
      <c r="AA71" s="5">
        <f t="shared" si="3"/>
        <v>512</v>
      </c>
    </row>
    <row r="72" spans="1:27" ht="15.75" customHeight="1">
      <c r="A72" s="1">
        <v>64</v>
      </c>
      <c r="B72" s="56" t="s">
        <v>376</v>
      </c>
      <c r="C72" s="57" t="s">
        <v>51</v>
      </c>
      <c r="D72" s="67"/>
      <c r="E72" s="67"/>
      <c r="F72" s="57"/>
      <c r="G72" s="10"/>
      <c r="H72" s="10"/>
      <c r="I72" s="10"/>
      <c r="J72" s="10"/>
      <c r="K72" s="10"/>
      <c r="L72" s="281"/>
      <c r="M72" s="281"/>
      <c r="N72" s="281"/>
      <c r="O72" s="281"/>
      <c r="P72" s="281"/>
      <c r="Q72" s="281"/>
      <c r="R72" s="281"/>
      <c r="S72" s="10"/>
      <c r="T72" s="10"/>
      <c r="U72" s="10"/>
      <c r="V72" s="10"/>
      <c r="W72" s="10"/>
      <c r="X72" s="10"/>
      <c r="Y72" s="10"/>
      <c r="Z72" s="5">
        <f t="shared" si="2"/>
        <v>0</v>
      </c>
      <c r="AA72" s="5">
        <f t="shared" si="3"/>
        <v>0</v>
      </c>
    </row>
    <row r="73" spans="1:27" ht="15.75" customHeight="1">
      <c r="A73" s="1">
        <v>65</v>
      </c>
      <c r="B73" s="56" t="s">
        <v>162</v>
      </c>
      <c r="C73" s="57" t="s">
        <v>47</v>
      </c>
      <c r="D73" s="67"/>
      <c r="E73" s="67"/>
      <c r="F73" s="57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5">
        <f t="shared" si="2"/>
        <v>0</v>
      </c>
      <c r="AA73" s="5">
        <f t="shared" si="3"/>
        <v>0</v>
      </c>
    </row>
    <row r="74" spans="1:27" ht="15.75" customHeight="1">
      <c r="A74" s="1">
        <v>66</v>
      </c>
      <c r="B74" s="56" t="s">
        <v>377</v>
      </c>
      <c r="C74" s="57" t="s">
        <v>51</v>
      </c>
      <c r="D74" s="67"/>
      <c r="E74" s="67"/>
      <c r="F74" s="57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5">
        <f t="shared" si="2"/>
        <v>0</v>
      </c>
      <c r="AA74" s="5">
        <f t="shared" si="3"/>
        <v>0</v>
      </c>
    </row>
    <row r="75" spans="1:27" ht="15.75" customHeight="1">
      <c r="A75" s="1">
        <v>67</v>
      </c>
      <c r="B75" s="56" t="s">
        <v>528</v>
      </c>
      <c r="C75" s="57" t="s">
        <v>490</v>
      </c>
      <c r="D75" s="67"/>
      <c r="E75" s="67"/>
      <c r="F75" s="57"/>
      <c r="G75" s="10"/>
      <c r="H75" s="10"/>
      <c r="I75" s="10"/>
      <c r="J75" s="10"/>
      <c r="K75" s="10"/>
      <c r="L75" s="10"/>
      <c r="M75" s="10"/>
      <c r="N75" s="10"/>
      <c r="O75" s="10"/>
      <c r="P75" s="307">
        <v>1</v>
      </c>
      <c r="Q75" s="57"/>
      <c r="R75" s="57"/>
      <c r="S75" s="307">
        <v>1</v>
      </c>
      <c r="T75" s="307">
        <v>1</v>
      </c>
      <c r="U75" s="307">
        <v>1</v>
      </c>
      <c r="V75" s="57"/>
      <c r="W75" s="57"/>
      <c r="X75" s="57"/>
      <c r="Y75" s="307"/>
      <c r="Z75" s="5">
        <f t="shared" si="2"/>
        <v>4</v>
      </c>
      <c r="AA75" s="5">
        <f t="shared" si="3"/>
        <v>128</v>
      </c>
    </row>
    <row r="76" spans="1:27" ht="15.75" customHeight="1">
      <c r="A76" s="1">
        <v>68</v>
      </c>
      <c r="B76" s="56" t="s">
        <v>378</v>
      </c>
      <c r="C76" s="57" t="s">
        <v>18</v>
      </c>
      <c r="D76" s="67"/>
      <c r="E76" s="69"/>
      <c r="F76" s="5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5">
        <f t="shared" ref="Z76:Z139" si="4">+SUM(G76:Y76)</f>
        <v>0</v>
      </c>
      <c r="AA76" s="5">
        <f t="shared" ref="AA76:AA139" si="5">+Z76*32</f>
        <v>0</v>
      </c>
    </row>
    <row r="77" spans="1:27" ht="15.75" customHeight="1">
      <c r="A77" s="1">
        <v>69</v>
      </c>
      <c r="B77" s="56" t="s">
        <v>379</v>
      </c>
      <c r="C77" s="57" t="s">
        <v>480</v>
      </c>
      <c r="D77" s="68"/>
      <c r="E77" s="68"/>
      <c r="F77" s="57"/>
      <c r="G77" s="10"/>
      <c r="H77" s="10"/>
      <c r="I77" s="10"/>
      <c r="J77" s="10"/>
      <c r="K77" s="10"/>
      <c r="L77" s="10"/>
      <c r="M77" s="10"/>
      <c r="N77" s="10"/>
      <c r="O77" s="10"/>
      <c r="P77" s="308">
        <v>1</v>
      </c>
      <c r="Q77" s="10"/>
      <c r="R77" s="10"/>
      <c r="S77" s="10"/>
      <c r="T77" s="10"/>
      <c r="U77" s="308">
        <v>1</v>
      </c>
      <c r="V77" s="10"/>
      <c r="W77" s="10"/>
      <c r="X77" s="10"/>
      <c r="Y77" s="10"/>
      <c r="Z77" s="5">
        <f t="shared" si="4"/>
        <v>2</v>
      </c>
      <c r="AA77" s="5">
        <f t="shared" si="5"/>
        <v>64</v>
      </c>
    </row>
    <row r="78" spans="1:27" ht="15.75" customHeight="1">
      <c r="A78" s="1">
        <v>70</v>
      </c>
      <c r="B78" s="56" t="s">
        <v>567</v>
      </c>
      <c r="C78" s="57" t="s">
        <v>490</v>
      </c>
      <c r="D78" s="68"/>
      <c r="E78" s="68"/>
      <c r="F78" s="57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5">
        <f t="shared" si="4"/>
        <v>0</v>
      </c>
      <c r="AA78" s="5">
        <f t="shared" si="5"/>
        <v>0</v>
      </c>
    </row>
    <row r="79" spans="1:27" ht="15.75" customHeight="1">
      <c r="A79" s="1">
        <v>71</v>
      </c>
      <c r="B79" s="56" t="s">
        <v>380</v>
      </c>
      <c r="C79" s="57" t="s">
        <v>18</v>
      </c>
      <c r="D79" s="67"/>
      <c r="E79" s="69"/>
      <c r="F79" s="5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5">
        <f t="shared" si="4"/>
        <v>0</v>
      </c>
      <c r="AA79" s="5">
        <f t="shared" si="5"/>
        <v>0</v>
      </c>
    </row>
    <row r="80" spans="1:27" ht="15.75" customHeight="1">
      <c r="A80" s="1">
        <v>72</v>
      </c>
      <c r="B80" s="56" t="s">
        <v>102</v>
      </c>
      <c r="C80" s="57" t="s">
        <v>47</v>
      </c>
      <c r="D80" s="67"/>
      <c r="E80" s="69"/>
      <c r="F80" s="5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5">
        <f t="shared" si="4"/>
        <v>0</v>
      </c>
      <c r="AA80" s="5">
        <f t="shared" si="5"/>
        <v>0</v>
      </c>
    </row>
    <row r="81" spans="1:27" ht="15.75" customHeight="1">
      <c r="A81" s="1">
        <v>73</v>
      </c>
      <c r="B81" s="56" t="s">
        <v>101</v>
      </c>
      <c r="C81" s="57" t="s">
        <v>47</v>
      </c>
      <c r="D81" s="68"/>
      <c r="E81" s="68"/>
      <c r="F81" s="57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5">
        <f t="shared" si="4"/>
        <v>0</v>
      </c>
      <c r="AA81" s="5">
        <f t="shared" si="5"/>
        <v>0</v>
      </c>
    </row>
    <row r="82" spans="1:27" ht="15.75" customHeight="1">
      <c r="A82" s="1">
        <v>74</v>
      </c>
      <c r="B82" s="56" t="s">
        <v>381</v>
      </c>
      <c r="C82" s="57" t="s">
        <v>47</v>
      </c>
      <c r="D82" s="68"/>
      <c r="E82" s="68"/>
      <c r="F82" s="57"/>
      <c r="G82" s="308">
        <v>1</v>
      </c>
      <c r="H82" s="308">
        <v>1</v>
      </c>
      <c r="I82" s="308">
        <v>1</v>
      </c>
      <c r="J82" s="328">
        <v>1</v>
      </c>
      <c r="K82" s="308">
        <v>1</v>
      </c>
      <c r="L82" s="308">
        <v>1</v>
      </c>
      <c r="M82" s="308">
        <v>1</v>
      </c>
      <c r="N82" s="308">
        <v>1</v>
      </c>
      <c r="O82" s="308">
        <v>1</v>
      </c>
      <c r="P82" s="308">
        <v>1</v>
      </c>
      <c r="Q82" s="308">
        <v>1</v>
      </c>
      <c r="R82" s="308">
        <v>1</v>
      </c>
      <c r="S82" s="308">
        <v>1</v>
      </c>
      <c r="T82" s="307">
        <v>1</v>
      </c>
      <c r="U82" s="307">
        <v>1</v>
      </c>
      <c r="V82" s="307">
        <v>1</v>
      </c>
      <c r="W82" s="307">
        <v>1</v>
      </c>
      <c r="X82" s="307">
        <v>1</v>
      </c>
      <c r="Y82" s="307"/>
      <c r="Z82" s="5">
        <f t="shared" si="4"/>
        <v>18</v>
      </c>
      <c r="AA82" s="5">
        <f t="shared" si="5"/>
        <v>576</v>
      </c>
    </row>
    <row r="83" spans="1:27" ht="15.75" customHeight="1">
      <c r="A83" s="1">
        <v>75</v>
      </c>
      <c r="B83" s="49" t="s">
        <v>94</v>
      </c>
      <c r="C83" s="58" t="s">
        <v>491</v>
      </c>
      <c r="D83" s="68"/>
      <c r="E83" s="68"/>
      <c r="F83" s="142" t="s">
        <v>698</v>
      </c>
      <c r="G83" s="328">
        <v>0</v>
      </c>
      <c r="H83" s="328">
        <v>0</v>
      </c>
      <c r="I83" s="328">
        <v>0</v>
      </c>
      <c r="J83" s="328">
        <v>0</v>
      </c>
      <c r="K83" s="328">
        <v>0</v>
      </c>
      <c r="L83" s="328">
        <v>0</v>
      </c>
      <c r="M83" s="328">
        <v>0</v>
      </c>
      <c r="N83" s="328">
        <v>0</v>
      </c>
      <c r="O83" s="328">
        <v>0</v>
      </c>
      <c r="P83" s="328">
        <v>0</v>
      </c>
      <c r="Q83" s="328">
        <v>0</v>
      </c>
      <c r="R83" s="328">
        <v>0</v>
      </c>
      <c r="S83" s="328">
        <v>0</v>
      </c>
      <c r="T83" s="328">
        <v>0</v>
      </c>
      <c r="U83" s="328">
        <v>0</v>
      </c>
      <c r="V83" s="328">
        <v>0</v>
      </c>
      <c r="W83" s="328">
        <v>0</v>
      </c>
      <c r="X83" s="328">
        <v>0</v>
      </c>
      <c r="Y83" s="328"/>
      <c r="Z83" s="5">
        <f t="shared" si="4"/>
        <v>0</v>
      </c>
      <c r="AA83" s="5">
        <f t="shared" si="5"/>
        <v>0</v>
      </c>
    </row>
    <row r="84" spans="1:27" ht="15.75" customHeight="1">
      <c r="A84" s="1">
        <v>76</v>
      </c>
      <c r="B84" s="49" t="s">
        <v>216</v>
      </c>
      <c r="C84" s="58" t="s">
        <v>488</v>
      </c>
      <c r="D84" s="68"/>
      <c r="E84" s="68"/>
      <c r="F84" s="142" t="s">
        <v>790</v>
      </c>
      <c r="G84" s="328">
        <v>1</v>
      </c>
      <c r="H84" s="328">
        <v>1</v>
      </c>
      <c r="I84" s="328">
        <v>1</v>
      </c>
      <c r="J84" s="328">
        <v>1</v>
      </c>
      <c r="K84" s="328">
        <v>1</v>
      </c>
      <c r="L84" s="328">
        <v>1</v>
      </c>
      <c r="M84" s="328">
        <v>1</v>
      </c>
      <c r="N84" s="328">
        <v>1</v>
      </c>
      <c r="O84" s="328">
        <v>1</v>
      </c>
      <c r="P84" s="328">
        <v>1</v>
      </c>
      <c r="Q84" s="328">
        <v>1</v>
      </c>
      <c r="R84" s="328">
        <v>1</v>
      </c>
      <c r="S84" s="328">
        <v>1</v>
      </c>
      <c r="T84" s="328">
        <v>1</v>
      </c>
      <c r="U84" s="328">
        <v>1</v>
      </c>
      <c r="V84" s="328">
        <v>1</v>
      </c>
      <c r="W84" s="328">
        <v>1</v>
      </c>
      <c r="X84" s="328">
        <v>1</v>
      </c>
      <c r="Y84" s="328"/>
      <c r="Z84" s="5">
        <f t="shared" si="4"/>
        <v>18</v>
      </c>
      <c r="AA84" s="5">
        <f t="shared" si="5"/>
        <v>576</v>
      </c>
    </row>
    <row r="85" spans="1:27" ht="15.75" customHeight="1">
      <c r="A85" s="1">
        <v>77</v>
      </c>
      <c r="B85" s="49" t="s">
        <v>165</v>
      </c>
      <c r="C85" s="58" t="s">
        <v>488</v>
      </c>
      <c r="D85" s="68"/>
      <c r="E85" s="68"/>
      <c r="F85" s="193" t="s">
        <v>596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5">
        <f t="shared" si="4"/>
        <v>0</v>
      </c>
      <c r="AA85" s="5">
        <f t="shared" si="5"/>
        <v>0</v>
      </c>
    </row>
    <row r="86" spans="1:27" ht="15.75" customHeight="1">
      <c r="A86" s="1">
        <v>78</v>
      </c>
      <c r="B86" s="49" t="s">
        <v>68</v>
      </c>
      <c r="C86" s="58" t="s">
        <v>18</v>
      </c>
      <c r="D86" s="68"/>
      <c r="E86" s="68"/>
      <c r="F86" s="404" t="s">
        <v>762</v>
      </c>
      <c r="G86" s="308">
        <v>1</v>
      </c>
      <c r="H86" s="308">
        <v>1</v>
      </c>
      <c r="I86" s="308">
        <v>1</v>
      </c>
      <c r="J86" s="308">
        <v>1</v>
      </c>
      <c r="K86" s="308">
        <v>1</v>
      </c>
      <c r="L86" s="308">
        <v>1</v>
      </c>
      <c r="M86" s="308">
        <v>1</v>
      </c>
      <c r="N86" s="308">
        <v>1</v>
      </c>
      <c r="O86" s="308">
        <v>1</v>
      </c>
      <c r="P86" s="308">
        <v>1</v>
      </c>
      <c r="Q86" s="308">
        <v>1</v>
      </c>
      <c r="R86" s="308">
        <v>1</v>
      </c>
      <c r="S86" s="308">
        <v>1</v>
      </c>
      <c r="T86" s="308">
        <v>1</v>
      </c>
      <c r="U86" s="308">
        <v>1</v>
      </c>
      <c r="V86" s="308">
        <v>1</v>
      </c>
      <c r="W86" s="308">
        <v>1</v>
      </c>
      <c r="X86" s="308">
        <v>1</v>
      </c>
      <c r="Y86" s="57"/>
      <c r="Z86" s="5">
        <f t="shared" si="4"/>
        <v>18</v>
      </c>
      <c r="AA86" s="5">
        <f t="shared" si="5"/>
        <v>576</v>
      </c>
    </row>
    <row r="87" spans="1:27" ht="15.75" customHeight="1">
      <c r="A87" s="1">
        <v>79</v>
      </c>
      <c r="B87" s="49" t="s">
        <v>595</v>
      </c>
      <c r="C87" s="58" t="s">
        <v>488</v>
      </c>
      <c r="D87" s="68"/>
      <c r="E87" s="68"/>
      <c r="F87" s="57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5">
        <f t="shared" si="4"/>
        <v>0</v>
      </c>
      <c r="AA87" s="5">
        <f t="shared" si="5"/>
        <v>0</v>
      </c>
    </row>
    <row r="88" spans="1:27" ht="15.75" customHeight="1">
      <c r="A88" s="1">
        <v>80</v>
      </c>
      <c r="B88" s="49" t="s">
        <v>382</v>
      </c>
      <c r="C88" s="58" t="s">
        <v>47</v>
      </c>
      <c r="D88" s="68"/>
      <c r="E88" s="68"/>
      <c r="F88" s="57"/>
      <c r="G88" s="10"/>
      <c r="H88" s="308">
        <v>1</v>
      </c>
      <c r="I88" s="308">
        <v>1</v>
      </c>
      <c r="J88" s="10"/>
      <c r="K88" s="10"/>
      <c r="L88" s="10"/>
      <c r="M88" s="10"/>
      <c r="N88" s="308">
        <v>1</v>
      </c>
      <c r="O88" s="308">
        <v>1</v>
      </c>
      <c r="P88" s="10"/>
      <c r="Q88" s="10"/>
      <c r="R88" s="10"/>
      <c r="S88" s="10"/>
      <c r="T88" s="307">
        <v>1</v>
      </c>
      <c r="U88" s="10"/>
      <c r="V88" s="10"/>
      <c r="W88" s="10"/>
      <c r="X88" s="307">
        <v>1</v>
      </c>
      <c r="Y88" s="10"/>
      <c r="Z88" s="5">
        <f t="shared" si="4"/>
        <v>6</v>
      </c>
      <c r="AA88" s="5">
        <f t="shared" si="5"/>
        <v>192</v>
      </c>
    </row>
    <row r="89" spans="1:27" ht="15.75" customHeight="1">
      <c r="A89" s="1">
        <v>81</v>
      </c>
      <c r="B89" s="56" t="s">
        <v>93</v>
      </c>
      <c r="C89" s="57" t="s">
        <v>51</v>
      </c>
      <c r="D89" s="67"/>
      <c r="E89" s="67"/>
      <c r="F89" s="57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5">
        <f t="shared" si="4"/>
        <v>0</v>
      </c>
      <c r="AA89" s="5">
        <f t="shared" si="5"/>
        <v>0</v>
      </c>
    </row>
    <row r="90" spans="1:27" ht="15.75" customHeight="1">
      <c r="A90" s="1">
        <v>82</v>
      </c>
      <c r="B90" s="56" t="s">
        <v>113</v>
      </c>
      <c r="C90" s="57" t="s">
        <v>18</v>
      </c>
      <c r="D90" s="67"/>
      <c r="E90" s="67"/>
      <c r="F90" s="57"/>
      <c r="G90" s="308">
        <v>1</v>
      </c>
      <c r="H90" s="308">
        <v>1</v>
      </c>
      <c r="I90" s="308">
        <v>1</v>
      </c>
      <c r="J90" s="308">
        <v>1</v>
      </c>
      <c r="K90" s="308">
        <v>1</v>
      </c>
      <c r="L90" s="308">
        <v>1</v>
      </c>
      <c r="M90" s="308">
        <v>1</v>
      </c>
      <c r="N90" s="308">
        <v>1</v>
      </c>
      <c r="O90" s="308">
        <v>1</v>
      </c>
      <c r="P90" s="308">
        <v>1</v>
      </c>
      <c r="Q90" s="308">
        <v>1</v>
      </c>
      <c r="R90" s="308">
        <v>1</v>
      </c>
      <c r="S90" s="308">
        <v>1</v>
      </c>
      <c r="T90" s="308">
        <v>1</v>
      </c>
      <c r="U90" s="308">
        <v>1</v>
      </c>
      <c r="V90" s="57"/>
      <c r="W90" s="308">
        <v>1</v>
      </c>
      <c r="X90" s="308">
        <v>1</v>
      </c>
      <c r="Y90" s="57"/>
      <c r="Z90" s="5">
        <f t="shared" si="4"/>
        <v>17</v>
      </c>
      <c r="AA90" s="5">
        <f t="shared" si="5"/>
        <v>544</v>
      </c>
    </row>
    <row r="91" spans="1:27" ht="16.5" customHeight="1">
      <c r="A91" s="1">
        <v>83</v>
      </c>
      <c r="B91" s="56" t="s">
        <v>383</v>
      </c>
      <c r="C91" s="57" t="s">
        <v>480</v>
      </c>
      <c r="D91" s="68"/>
      <c r="E91" s="68"/>
      <c r="F91" s="57"/>
      <c r="G91" s="308">
        <v>1</v>
      </c>
      <c r="H91" s="308">
        <v>1</v>
      </c>
      <c r="I91" s="308">
        <v>1</v>
      </c>
      <c r="J91" s="308">
        <v>1</v>
      </c>
      <c r="K91" s="308">
        <v>1</v>
      </c>
      <c r="L91" s="308">
        <v>1</v>
      </c>
      <c r="M91" s="308">
        <v>1</v>
      </c>
      <c r="N91" s="308">
        <v>1</v>
      </c>
      <c r="O91" s="308">
        <v>1</v>
      </c>
      <c r="P91" s="308">
        <v>1</v>
      </c>
      <c r="Q91" s="308">
        <v>1</v>
      </c>
      <c r="R91" s="308">
        <v>1</v>
      </c>
      <c r="S91" s="308">
        <v>1</v>
      </c>
      <c r="T91" s="308">
        <v>1</v>
      </c>
      <c r="U91" s="308">
        <v>1</v>
      </c>
      <c r="V91" s="308">
        <v>1</v>
      </c>
      <c r="W91" s="308">
        <v>1</v>
      </c>
      <c r="X91" s="308">
        <v>1</v>
      </c>
      <c r="Y91" s="308"/>
      <c r="Z91" s="5">
        <f t="shared" si="4"/>
        <v>18</v>
      </c>
      <c r="AA91" s="5">
        <f t="shared" si="5"/>
        <v>576</v>
      </c>
    </row>
    <row r="92" spans="1:27" ht="15.75" customHeight="1">
      <c r="A92" s="1">
        <v>84</v>
      </c>
      <c r="B92" s="56" t="s">
        <v>279</v>
      </c>
      <c r="C92" s="57" t="s">
        <v>47</v>
      </c>
      <c r="D92" s="68"/>
      <c r="E92" s="68"/>
      <c r="F92" s="57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5">
        <f t="shared" si="4"/>
        <v>0</v>
      </c>
      <c r="AA92" s="5">
        <f t="shared" si="5"/>
        <v>0</v>
      </c>
    </row>
    <row r="93" spans="1:27" ht="15.75" customHeight="1">
      <c r="A93" s="1">
        <v>85</v>
      </c>
      <c r="B93" s="56" t="s">
        <v>173</v>
      </c>
      <c r="C93" s="57" t="s">
        <v>490</v>
      </c>
      <c r="D93" s="68"/>
      <c r="E93" s="68"/>
      <c r="F93" s="142" t="s">
        <v>799</v>
      </c>
      <c r="G93" s="328">
        <v>1</v>
      </c>
      <c r="H93" s="328">
        <v>1</v>
      </c>
      <c r="I93" s="328">
        <v>1</v>
      </c>
      <c r="J93" s="328">
        <v>1</v>
      </c>
      <c r="K93" s="328">
        <v>1</v>
      </c>
      <c r="L93" s="328">
        <v>1</v>
      </c>
      <c r="M93" s="328">
        <v>1</v>
      </c>
      <c r="N93" s="328">
        <v>1</v>
      </c>
      <c r="O93" s="328">
        <v>1</v>
      </c>
      <c r="P93" s="328">
        <v>1</v>
      </c>
      <c r="Q93" s="328">
        <v>1</v>
      </c>
      <c r="R93" s="328">
        <v>1</v>
      </c>
      <c r="S93" s="328">
        <v>1</v>
      </c>
      <c r="T93" s="328">
        <v>1</v>
      </c>
      <c r="U93" s="328">
        <v>1</v>
      </c>
      <c r="V93" s="328">
        <v>1</v>
      </c>
      <c r="W93" s="328">
        <v>1</v>
      </c>
      <c r="X93" s="328">
        <v>1</v>
      </c>
      <c r="Y93" s="328"/>
      <c r="Z93" s="5">
        <f t="shared" si="4"/>
        <v>18</v>
      </c>
      <c r="AA93" s="5">
        <f t="shared" si="5"/>
        <v>576</v>
      </c>
    </row>
    <row r="94" spans="1:27" ht="16.5" customHeight="1">
      <c r="A94" s="1">
        <v>86</v>
      </c>
      <c r="B94" s="56" t="s">
        <v>384</v>
      </c>
      <c r="C94" s="57" t="s">
        <v>572</v>
      </c>
      <c r="D94" s="68"/>
      <c r="E94" s="68"/>
      <c r="F94" s="57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308">
        <v>1</v>
      </c>
      <c r="T94" s="10"/>
      <c r="U94" s="10"/>
      <c r="V94" s="10"/>
      <c r="W94" s="10"/>
      <c r="X94" s="10"/>
      <c r="Y94" s="10"/>
      <c r="Z94" s="5">
        <f t="shared" si="4"/>
        <v>1</v>
      </c>
      <c r="AA94" s="5">
        <f t="shared" si="5"/>
        <v>32</v>
      </c>
    </row>
    <row r="95" spans="1:27" ht="15.75" customHeight="1">
      <c r="A95" s="1">
        <v>87</v>
      </c>
      <c r="B95" s="56" t="s">
        <v>84</v>
      </c>
      <c r="C95" s="57" t="s">
        <v>51</v>
      </c>
      <c r="D95" s="68"/>
      <c r="E95" s="68"/>
      <c r="F95" s="193" t="s">
        <v>771</v>
      </c>
      <c r="G95" s="308">
        <v>1</v>
      </c>
      <c r="H95" s="308">
        <v>1</v>
      </c>
      <c r="I95" s="308">
        <v>1</v>
      </c>
      <c r="J95" s="308">
        <v>1</v>
      </c>
      <c r="K95" s="308">
        <v>1</v>
      </c>
      <c r="L95" s="308">
        <v>1</v>
      </c>
      <c r="M95" s="308">
        <v>1</v>
      </c>
      <c r="N95" s="308">
        <v>1</v>
      </c>
      <c r="O95" s="308">
        <v>1</v>
      </c>
      <c r="P95" s="308">
        <v>1</v>
      </c>
      <c r="Q95" s="308">
        <v>1</v>
      </c>
      <c r="R95" s="308">
        <v>1</v>
      </c>
      <c r="S95" s="308">
        <v>1</v>
      </c>
      <c r="T95" s="308">
        <v>1</v>
      </c>
      <c r="U95" s="308">
        <v>1</v>
      </c>
      <c r="V95" s="308">
        <v>1</v>
      </c>
      <c r="W95" s="10"/>
      <c r="X95" s="10"/>
      <c r="Y95" s="10"/>
      <c r="Z95" s="5">
        <f t="shared" si="4"/>
        <v>16</v>
      </c>
      <c r="AA95" s="5">
        <f t="shared" si="5"/>
        <v>512</v>
      </c>
    </row>
    <row r="96" spans="1:27" ht="15.75" customHeight="1">
      <c r="A96" s="1">
        <v>88</v>
      </c>
      <c r="B96" s="56" t="s">
        <v>588</v>
      </c>
      <c r="C96" s="57" t="s">
        <v>488</v>
      </c>
      <c r="D96" s="68"/>
      <c r="E96" s="68"/>
      <c r="F96" s="48"/>
      <c r="G96" s="307">
        <v>1</v>
      </c>
      <c r="H96" s="10"/>
      <c r="I96" s="10"/>
      <c r="J96" s="10"/>
      <c r="K96" s="10"/>
      <c r="L96" s="328">
        <v>1</v>
      </c>
      <c r="M96" s="10"/>
      <c r="N96" s="328">
        <v>1</v>
      </c>
      <c r="O96" s="328">
        <v>0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5">
        <f t="shared" si="4"/>
        <v>3</v>
      </c>
      <c r="AA96" s="5">
        <f t="shared" si="5"/>
        <v>96</v>
      </c>
    </row>
    <row r="97" spans="1:27" ht="15.75" customHeight="1">
      <c r="A97" s="1">
        <v>89</v>
      </c>
      <c r="B97" s="56" t="s">
        <v>385</v>
      </c>
      <c r="C97" s="57" t="s">
        <v>47</v>
      </c>
      <c r="D97" s="67"/>
      <c r="E97" s="67"/>
      <c r="F97" s="193" t="s">
        <v>649</v>
      </c>
      <c r="G97" s="308">
        <v>1</v>
      </c>
      <c r="H97" s="308">
        <v>1</v>
      </c>
      <c r="I97" s="308">
        <v>1</v>
      </c>
      <c r="J97" s="308">
        <v>1</v>
      </c>
      <c r="K97" s="308">
        <v>1</v>
      </c>
      <c r="L97" s="308">
        <v>1</v>
      </c>
      <c r="M97" s="308">
        <v>1</v>
      </c>
      <c r="N97" s="308">
        <v>1</v>
      </c>
      <c r="O97" s="308">
        <v>1</v>
      </c>
      <c r="P97" s="308">
        <v>1</v>
      </c>
      <c r="Q97" s="308">
        <v>1</v>
      </c>
      <c r="R97" s="308">
        <v>1</v>
      </c>
      <c r="S97" s="308">
        <v>1</v>
      </c>
      <c r="T97" s="307">
        <v>1</v>
      </c>
      <c r="U97" s="307">
        <v>1</v>
      </c>
      <c r="V97" s="307">
        <v>1</v>
      </c>
      <c r="W97" s="307">
        <v>1</v>
      </c>
      <c r="X97" s="307">
        <v>1</v>
      </c>
      <c r="Y97" s="307"/>
      <c r="Z97" s="5">
        <f t="shared" si="4"/>
        <v>18</v>
      </c>
      <c r="AA97" s="5">
        <f t="shared" si="5"/>
        <v>576</v>
      </c>
    </row>
    <row r="98" spans="1:27" ht="16.5" customHeight="1">
      <c r="A98" s="1">
        <v>90</v>
      </c>
      <c r="B98" s="56" t="s">
        <v>174</v>
      </c>
      <c r="C98" s="57" t="s">
        <v>480</v>
      </c>
      <c r="D98" s="67"/>
      <c r="E98" s="69"/>
      <c r="F98" s="50"/>
      <c r="G98" s="308">
        <v>1</v>
      </c>
      <c r="H98" s="308">
        <v>1</v>
      </c>
      <c r="I98" s="308">
        <v>1</v>
      </c>
      <c r="J98" s="308">
        <v>1</v>
      </c>
      <c r="K98" s="308">
        <v>1</v>
      </c>
      <c r="L98" s="308">
        <v>1</v>
      </c>
      <c r="M98" s="308">
        <v>1</v>
      </c>
      <c r="N98" s="308">
        <v>1</v>
      </c>
      <c r="O98" s="308">
        <v>1</v>
      </c>
      <c r="P98" s="308">
        <v>1</v>
      </c>
      <c r="Q98" s="308">
        <v>1</v>
      </c>
      <c r="R98" s="308">
        <v>1</v>
      </c>
      <c r="S98" s="308">
        <v>1</v>
      </c>
      <c r="T98" s="308">
        <v>1</v>
      </c>
      <c r="U98" s="308">
        <v>1</v>
      </c>
      <c r="V98" s="308">
        <v>1</v>
      </c>
      <c r="W98" s="308">
        <v>1</v>
      </c>
      <c r="X98" s="308">
        <v>1</v>
      </c>
      <c r="Y98" s="308"/>
      <c r="Z98" s="5">
        <f t="shared" si="4"/>
        <v>18</v>
      </c>
      <c r="AA98" s="5">
        <f t="shared" si="5"/>
        <v>576</v>
      </c>
    </row>
    <row r="99" spans="1:27" ht="16.5" customHeight="1">
      <c r="A99" s="1">
        <v>91</v>
      </c>
      <c r="B99" s="56" t="s">
        <v>303</v>
      </c>
      <c r="C99" s="57" t="s">
        <v>490</v>
      </c>
      <c r="D99" s="67"/>
      <c r="E99" s="69"/>
      <c r="F99" s="224"/>
      <c r="G99" s="308">
        <v>1</v>
      </c>
      <c r="H99" s="308">
        <v>1</v>
      </c>
      <c r="I99" s="308">
        <v>1</v>
      </c>
      <c r="J99" s="308">
        <v>1</v>
      </c>
      <c r="K99" s="308">
        <v>1</v>
      </c>
      <c r="L99" s="308">
        <v>1</v>
      </c>
      <c r="M99" s="308">
        <v>1</v>
      </c>
      <c r="N99" s="308">
        <v>1</v>
      </c>
      <c r="O99" s="308">
        <v>1</v>
      </c>
      <c r="P99" s="308">
        <v>1</v>
      </c>
      <c r="Q99" s="308">
        <v>1</v>
      </c>
      <c r="R99" s="308">
        <v>1</v>
      </c>
      <c r="S99" s="308">
        <v>1</v>
      </c>
      <c r="T99" s="308">
        <v>1</v>
      </c>
      <c r="U99" s="308">
        <v>1</v>
      </c>
      <c r="V99" s="308">
        <v>1</v>
      </c>
      <c r="W99" s="308">
        <v>1</v>
      </c>
      <c r="X99" s="308">
        <v>1</v>
      </c>
      <c r="Y99" s="308"/>
      <c r="Z99" s="5">
        <f t="shared" si="4"/>
        <v>18</v>
      </c>
      <c r="AA99" s="5">
        <f t="shared" si="5"/>
        <v>576</v>
      </c>
    </row>
    <row r="100" spans="1:27" ht="15.75" customHeight="1">
      <c r="A100" s="1">
        <v>92</v>
      </c>
      <c r="B100" s="56" t="s">
        <v>386</v>
      </c>
      <c r="C100" s="57" t="s">
        <v>51</v>
      </c>
      <c r="D100" s="68"/>
      <c r="E100" s="68"/>
      <c r="F100" s="48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5">
        <f t="shared" si="4"/>
        <v>0</v>
      </c>
      <c r="AA100" s="5">
        <f t="shared" si="5"/>
        <v>0</v>
      </c>
    </row>
    <row r="101" spans="1:27" ht="15.75" customHeight="1">
      <c r="A101" s="1">
        <v>93</v>
      </c>
      <c r="B101" s="56" t="s">
        <v>56</v>
      </c>
      <c r="C101" s="57" t="s">
        <v>18</v>
      </c>
      <c r="D101" s="68"/>
      <c r="E101" s="68"/>
      <c r="F101" s="142" t="s">
        <v>691</v>
      </c>
      <c r="G101" s="328">
        <v>1</v>
      </c>
      <c r="H101" s="308">
        <v>1</v>
      </c>
      <c r="I101" s="308">
        <v>1</v>
      </c>
      <c r="J101" s="328">
        <v>1</v>
      </c>
      <c r="K101" s="308">
        <v>1</v>
      </c>
      <c r="L101" s="308">
        <v>1</v>
      </c>
      <c r="M101" s="308">
        <v>1</v>
      </c>
      <c r="N101" s="308">
        <v>1</v>
      </c>
      <c r="O101" s="328">
        <v>1</v>
      </c>
      <c r="P101" s="308">
        <v>1</v>
      </c>
      <c r="Q101" s="308">
        <v>1</v>
      </c>
      <c r="R101" s="308">
        <v>1</v>
      </c>
      <c r="S101" s="308">
        <v>1</v>
      </c>
      <c r="T101" s="328">
        <v>1</v>
      </c>
      <c r="U101" s="308">
        <v>1</v>
      </c>
      <c r="V101" s="308">
        <v>1</v>
      </c>
      <c r="W101" s="308">
        <v>1</v>
      </c>
      <c r="X101" s="308">
        <v>1</v>
      </c>
      <c r="Y101" s="57"/>
      <c r="Z101" s="5">
        <f t="shared" si="4"/>
        <v>18</v>
      </c>
      <c r="AA101" s="5">
        <f t="shared" si="5"/>
        <v>576</v>
      </c>
    </row>
    <row r="102" spans="1:27" ht="15.75" customHeight="1">
      <c r="A102" s="1">
        <v>94</v>
      </c>
      <c r="B102" s="56" t="s">
        <v>614</v>
      </c>
      <c r="C102" s="57" t="s">
        <v>490</v>
      </c>
      <c r="D102" s="68"/>
      <c r="E102" s="68"/>
      <c r="F102" s="193" t="s">
        <v>782</v>
      </c>
      <c r="G102" s="308">
        <v>1</v>
      </c>
      <c r="H102" s="308">
        <v>1</v>
      </c>
      <c r="I102" s="308">
        <v>1</v>
      </c>
      <c r="J102" s="308">
        <v>1</v>
      </c>
      <c r="K102" s="308">
        <v>1</v>
      </c>
      <c r="L102" s="308">
        <v>1</v>
      </c>
      <c r="M102" s="308">
        <v>1</v>
      </c>
      <c r="N102" s="308">
        <v>1</v>
      </c>
      <c r="O102" s="308">
        <v>1</v>
      </c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">
        <f t="shared" si="4"/>
        <v>9</v>
      </c>
      <c r="AA102" s="5">
        <f t="shared" si="5"/>
        <v>288</v>
      </c>
    </row>
    <row r="103" spans="1:27" ht="15.75" customHeight="1">
      <c r="A103" s="1">
        <v>95</v>
      </c>
      <c r="B103" s="56" t="s">
        <v>264</v>
      </c>
      <c r="C103" s="57" t="s">
        <v>490</v>
      </c>
      <c r="D103" s="68"/>
      <c r="E103" s="68"/>
      <c r="F103" s="48"/>
      <c r="G103" s="308">
        <v>1</v>
      </c>
      <c r="H103" s="308">
        <v>1</v>
      </c>
      <c r="I103" s="308">
        <v>1</v>
      </c>
      <c r="J103" s="308">
        <v>1</v>
      </c>
      <c r="K103" s="308">
        <v>1</v>
      </c>
      <c r="L103" s="308">
        <v>1</v>
      </c>
      <c r="M103" s="308">
        <v>1</v>
      </c>
      <c r="N103" s="308">
        <v>1</v>
      </c>
      <c r="O103" s="57"/>
      <c r="P103" s="308">
        <v>1</v>
      </c>
      <c r="Q103" s="308">
        <v>1</v>
      </c>
      <c r="R103" s="308">
        <v>1</v>
      </c>
      <c r="S103" s="308">
        <v>1</v>
      </c>
      <c r="T103" s="10"/>
      <c r="U103" s="308">
        <v>1</v>
      </c>
      <c r="V103" s="308">
        <v>1</v>
      </c>
      <c r="W103" s="308">
        <v>1</v>
      </c>
      <c r="X103" s="308">
        <v>1</v>
      </c>
      <c r="Y103" s="57"/>
      <c r="Z103" s="5">
        <f t="shared" si="4"/>
        <v>16</v>
      </c>
      <c r="AA103" s="5">
        <f t="shared" si="5"/>
        <v>512</v>
      </c>
    </row>
    <row r="104" spans="1:27" ht="15.75" customHeight="1">
      <c r="A104" s="1">
        <v>96</v>
      </c>
      <c r="B104" s="56" t="s">
        <v>387</v>
      </c>
      <c r="C104" s="57" t="s">
        <v>47</v>
      </c>
      <c r="D104" s="68"/>
      <c r="E104" s="68"/>
      <c r="F104" s="48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5">
        <f t="shared" si="4"/>
        <v>0</v>
      </c>
      <c r="AA104" s="5">
        <f t="shared" si="5"/>
        <v>0</v>
      </c>
    </row>
    <row r="105" spans="1:27" ht="16.5" customHeight="1">
      <c r="A105" s="1">
        <v>97</v>
      </c>
      <c r="B105" s="56" t="s">
        <v>249</v>
      </c>
      <c r="C105" s="57" t="s">
        <v>491</v>
      </c>
      <c r="D105" s="67"/>
      <c r="E105" s="69"/>
      <c r="F105" s="54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308">
        <v>1</v>
      </c>
      <c r="S105" s="308">
        <v>1</v>
      </c>
      <c r="T105" s="10"/>
      <c r="U105" s="10"/>
      <c r="V105" s="10"/>
      <c r="W105" s="10"/>
      <c r="X105" s="307">
        <v>1</v>
      </c>
      <c r="Y105" s="10"/>
      <c r="Z105" s="5">
        <f t="shared" si="4"/>
        <v>3</v>
      </c>
      <c r="AA105" s="5">
        <f t="shared" si="5"/>
        <v>96</v>
      </c>
    </row>
    <row r="106" spans="1:27" ht="16.5" customHeight="1">
      <c r="A106" s="1">
        <v>98</v>
      </c>
      <c r="B106" s="56" t="s">
        <v>305</v>
      </c>
      <c r="C106" s="57" t="s">
        <v>490</v>
      </c>
      <c r="D106" s="67"/>
      <c r="E106" s="69"/>
      <c r="F106" s="54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5">
        <f t="shared" si="4"/>
        <v>0</v>
      </c>
      <c r="AA106" s="5">
        <f t="shared" si="5"/>
        <v>0</v>
      </c>
    </row>
    <row r="107" spans="1:27" ht="15.75" customHeight="1">
      <c r="A107" s="1">
        <v>99</v>
      </c>
      <c r="B107" s="56" t="s">
        <v>221</v>
      </c>
      <c r="C107" s="57" t="s">
        <v>18</v>
      </c>
      <c r="D107" s="68"/>
      <c r="E107" s="68"/>
      <c r="F107" s="4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5">
        <f t="shared" si="4"/>
        <v>0</v>
      </c>
      <c r="AA107" s="5">
        <f t="shared" si="5"/>
        <v>0</v>
      </c>
    </row>
    <row r="108" spans="1:27" ht="15.75" customHeight="1">
      <c r="A108" s="1">
        <v>100</v>
      </c>
      <c r="B108" s="56" t="s">
        <v>239</v>
      </c>
      <c r="C108" s="57" t="s">
        <v>47</v>
      </c>
      <c r="D108" s="68"/>
      <c r="E108" s="68"/>
      <c r="F108" s="4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5">
        <f t="shared" si="4"/>
        <v>0</v>
      </c>
      <c r="AA108" s="5">
        <f t="shared" si="5"/>
        <v>0</v>
      </c>
    </row>
    <row r="109" spans="1:27" ht="15.75" customHeight="1">
      <c r="A109" s="1">
        <v>101</v>
      </c>
      <c r="B109" s="56" t="s">
        <v>389</v>
      </c>
      <c r="C109" s="57" t="s">
        <v>491</v>
      </c>
      <c r="D109" s="67"/>
      <c r="E109" s="67"/>
      <c r="F109" s="57"/>
      <c r="G109" s="308">
        <v>0</v>
      </c>
      <c r="H109" s="308">
        <v>1</v>
      </c>
      <c r="I109" s="308">
        <v>1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5">
        <f t="shared" si="4"/>
        <v>2</v>
      </c>
      <c r="AA109" s="5">
        <f t="shared" si="5"/>
        <v>64</v>
      </c>
    </row>
    <row r="110" spans="1:27" ht="15.75" customHeight="1">
      <c r="A110" s="1">
        <v>102</v>
      </c>
      <c r="B110" s="56" t="s">
        <v>539</v>
      </c>
      <c r="C110" s="57" t="s">
        <v>18</v>
      </c>
      <c r="D110" s="67"/>
      <c r="E110" s="67"/>
      <c r="F110" s="57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5">
        <f t="shared" si="4"/>
        <v>0</v>
      </c>
      <c r="AA110" s="5">
        <f t="shared" si="5"/>
        <v>0</v>
      </c>
    </row>
    <row r="111" spans="1:27" ht="15.75" customHeight="1">
      <c r="A111" s="1">
        <v>103</v>
      </c>
      <c r="B111" s="56" t="s">
        <v>103</v>
      </c>
      <c r="C111" s="57" t="s">
        <v>51</v>
      </c>
      <c r="D111" s="67"/>
      <c r="E111" s="67"/>
      <c r="F111" s="57"/>
      <c r="G111" s="308">
        <v>1</v>
      </c>
      <c r="H111" s="308">
        <v>1</v>
      </c>
      <c r="I111" s="308">
        <v>1</v>
      </c>
      <c r="J111" s="308">
        <v>1</v>
      </c>
      <c r="K111" s="308">
        <v>1</v>
      </c>
      <c r="L111" s="308">
        <v>1</v>
      </c>
      <c r="M111" s="308">
        <v>1</v>
      </c>
      <c r="N111" s="308">
        <v>1</v>
      </c>
      <c r="O111" s="308">
        <v>1</v>
      </c>
      <c r="P111" s="308">
        <v>1</v>
      </c>
      <c r="Q111" s="308">
        <v>1</v>
      </c>
      <c r="R111" s="308">
        <v>1</v>
      </c>
      <c r="S111" s="308">
        <v>1</v>
      </c>
      <c r="T111" s="308">
        <v>1</v>
      </c>
      <c r="U111" s="308">
        <v>1</v>
      </c>
      <c r="V111" s="308">
        <v>1</v>
      </c>
      <c r="W111" s="308">
        <v>1</v>
      </c>
      <c r="X111" s="308">
        <v>1</v>
      </c>
      <c r="Y111" s="308"/>
      <c r="Z111" s="5">
        <f t="shared" si="4"/>
        <v>18</v>
      </c>
      <c r="AA111" s="5">
        <f t="shared" si="5"/>
        <v>576</v>
      </c>
    </row>
    <row r="112" spans="1:27" ht="15.75" customHeight="1">
      <c r="A112" s="1">
        <v>104</v>
      </c>
      <c r="B112" s="56" t="s">
        <v>307</v>
      </c>
      <c r="C112" s="57" t="s">
        <v>488</v>
      </c>
      <c r="D112" s="67"/>
      <c r="E112" s="67"/>
      <c r="F112" s="193" t="s">
        <v>787</v>
      </c>
      <c r="G112" s="308">
        <v>1</v>
      </c>
      <c r="H112" s="308">
        <v>1</v>
      </c>
      <c r="I112" s="308">
        <v>1</v>
      </c>
      <c r="J112" s="308">
        <v>1</v>
      </c>
      <c r="K112" s="308">
        <v>1</v>
      </c>
      <c r="L112" s="308">
        <v>1</v>
      </c>
      <c r="M112" s="308">
        <v>1</v>
      </c>
      <c r="N112" s="308">
        <v>1</v>
      </c>
      <c r="O112" s="308">
        <v>1</v>
      </c>
      <c r="P112" s="308">
        <v>1</v>
      </c>
      <c r="Q112" s="308">
        <v>1</v>
      </c>
      <c r="R112" s="308">
        <v>1</v>
      </c>
      <c r="S112" s="57"/>
      <c r="T112" s="307">
        <v>1</v>
      </c>
      <c r="U112" s="307">
        <v>1</v>
      </c>
      <c r="V112" s="307">
        <v>1</v>
      </c>
      <c r="W112" s="307">
        <v>1</v>
      </c>
      <c r="X112" s="307">
        <v>1</v>
      </c>
      <c r="Y112" s="307"/>
      <c r="Z112" s="5">
        <f t="shared" si="4"/>
        <v>17</v>
      </c>
      <c r="AA112" s="5">
        <f t="shared" si="5"/>
        <v>544</v>
      </c>
    </row>
    <row r="113" spans="1:27" ht="15.75" customHeight="1">
      <c r="A113" s="1">
        <v>105</v>
      </c>
      <c r="B113" s="56" t="s">
        <v>202</v>
      </c>
      <c r="C113" s="57" t="s">
        <v>18</v>
      </c>
      <c r="D113" s="67"/>
      <c r="E113" s="67"/>
      <c r="F113" s="57"/>
      <c r="G113" s="10"/>
      <c r="H113" s="10"/>
      <c r="I113" s="10"/>
      <c r="J113" s="10"/>
      <c r="K113" s="10"/>
      <c r="L113" s="308">
        <v>1</v>
      </c>
      <c r="M113" s="308">
        <v>1</v>
      </c>
      <c r="N113" s="308">
        <v>1</v>
      </c>
      <c r="O113" s="308">
        <v>1</v>
      </c>
      <c r="P113" s="308">
        <v>1</v>
      </c>
      <c r="Q113" s="308">
        <v>1</v>
      </c>
      <c r="R113" s="308">
        <v>1</v>
      </c>
      <c r="S113" s="308">
        <v>1</v>
      </c>
      <c r="T113" s="307">
        <v>1</v>
      </c>
      <c r="U113" s="307">
        <v>1</v>
      </c>
      <c r="V113" s="307">
        <v>1</v>
      </c>
      <c r="W113" s="307">
        <v>1</v>
      </c>
      <c r="X113" s="307">
        <v>1</v>
      </c>
      <c r="Y113" s="307"/>
      <c r="Z113" s="5">
        <f t="shared" si="4"/>
        <v>13</v>
      </c>
      <c r="AA113" s="5">
        <f t="shared" si="5"/>
        <v>416</v>
      </c>
    </row>
    <row r="114" spans="1:27" ht="15.75" customHeight="1">
      <c r="A114" s="1">
        <v>106</v>
      </c>
      <c r="B114" s="56" t="s">
        <v>390</v>
      </c>
      <c r="C114" s="57" t="s">
        <v>572</v>
      </c>
      <c r="D114" s="67"/>
      <c r="E114" s="69"/>
      <c r="F114" s="57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308">
        <v>1</v>
      </c>
      <c r="V114" s="10"/>
      <c r="W114" s="10"/>
      <c r="X114" s="10"/>
      <c r="Y114" s="10"/>
      <c r="Z114" s="5">
        <f t="shared" si="4"/>
        <v>1</v>
      </c>
      <c r="AA114" s="5">
        <f t="shared" si="5"/>
        <v>32</v>
      </c>
    </row>
    <row r="115" spans="1:27" ht="15.75" customHeight="1">
      <c r="A115" s="1">
        <v>107</v>
      </c>
      <c r="B115" s="56" t="s">
        <v>228</v>
      </c>
      <c r="C115" s="57" t="s">
        <v>51</v>
      </c>
      <c r="D115" s="68"/>
      <c r="E115" s="68"/>
      <c r="F115" s="57"/>
      <c r="G115" s="308">
        <v>1</v>
      </c>
      <c r="H115" s="10"/>
      <c r="I115" s="10"/>
      <c r="J115" s="308">
        <v>1</v>
      </c>
      <c r="K115" s="308">
        <v>1</v>
      </c>
      <c r="L115" s="10"/>
      <c r="M115" s="10"/>
      <c r="N115" s="10"/>
      <c r="O115" s="308">
        <v>1</v>
      </c>
      <c r="P115" s="10"/>
      <c r="Q115" s="10"/>
      <c r="R115" s="10"/>
      <c r="S115" s="308">
        <v>1</v>
      </c>
      <c r="T115" s="10"/>
      <c r="U115" s="10"/>
      <c r="V115" s="10"/>
      <c r="W115" s="10"/>
      <c r="X115" s="308">
        <v>1</v>
      </c>
      <c r="Y115" s="308"/>
      <c r="Z115" s="5">
        <f t="shared" si="4"/>
        <v>6</v>
      </c>
      <c r="AA115" s="5">
        <f t="shared" si="5"/>
        <v>192</v>
      </c>
    </row>
    <row r="116" spans="1:27" ht="15.75" customHeight="1">
      <c r="A116" s="1">
        <v>108</v>
      </c>
      <c r="B116" s="56" t="s">
        <v>504</v>
      </c>
      <c r="C116" s="57" t="s">
        <v>51</v>
      </c>
      <c r="D116" s="68"/>
      <c r="E116" s="68"/>
      <c r="F116" s="55"/>
      <c r="G116" s="308">
        <v>1</v>
      </c>
      <c r="H116" s="57"/>
      <c r="I116" s="308">
        <v>1</v>
      </c>
      <c r="J116" s="308">
        <v>1</v>
      </c>
      <c r="K116" s="308">
        <v>1</v>
      </c>
      <c r="L116" s="308">
        <v>1</v>
      </c>
      <c r="M116" s="308">
        <v>1</v>
      </c>
      <c r="N116" s="308">
        <v>1</v>
      </c>
      <c r="O116" s="308">
        <v>1</v>
      </c>
      <c r="P116" s="308">
        <v>1</v>
      </c>
      <c r="Q116" s="308">
        <v>1</v>
      </c>
      <c r="R116" s="308">
        <v>1</v>
      </c>
      <c r="S116" s="308">
        <v>1</v>
      </c>
      <c r="T116" s="308">
        <v>1</v>
      </c>
      <c r="U116" s="308">
        <v>1</v>
      </c>
      <c r="V116" s="308">
        <v>1</v>
      </c>
      <c r="W116" s="308">
        <v>1</v>
      </c>
      <c r="X116" s="308">
        <v>1</v>
      </c>
      <c r="Y116" s="57"/>
      <c r="Z116" s="5">
        <f t="shared" si="4"/>
        <v>17</v>
      </c>
      <c r="AA116" s="5">
        <f t="shared" si="5"/>
        <v>544</v>
      </c>
    </row>
    <row r="117" spans="1:27" ht="15.75" customHeight="1">
      <c r="A117" s="1">
        <v>109</v>
      </c>
      <c r="B117" s="56" t="s">
        <v>391</v>
      </c>
      <c r="C117" s="57" t="s">
        <v>47</v>
      </c>
      <c r="D117" s="67"/>
      <c r="E117" s="67"/>
      <c r="F117" s="193" t="s">
        <v>769</v>
      </c>
      <c r="G117" s="308">
        <v>1</v>
      </c>
      <c r="H117" s="308">
        <v>1</v>
      </c>
      <c r="I117" s="308">
        <v>1</v>
      </c>
      <c r="J117" s="308">
        <v>1</v>
      </c>
      <c r="K117" s="308">
        <v>1</v>
      </c>
      <c r="L117" s="308">
        <v>1</v>
      </c>
      <c r="M117" s="308">
        <v>1</v>
      </c>
      <c r="N117" s="308">
        <v>1</v>
      </c>
      <c r="O117" s="308">
        <v>1</v>
      </c>
      <c r="P117" s="308">
        <v>1</v>
      </c>
      <c r="Q117" s="308">
        <v>1</v>
      </c>
      <c r="R117" s="308">
        <v>1</v>
      </c>
      <c r="S117" s="308">
        <v>1</v>
      </c>
      <c r="T117" s="308">
        <v>1</v>
      </c>
      <c r="U117" s="308">
        <v>1</v>
      </c>
      <c r="V117" s="308">
        <v>1</v>
      </c>
      <c r="W117" s="308">
        <v>1</v>
      </c>
      <c r="X117" s="308">
        <v>1</v>
      </c>
      <c r="Y117" s="308"/>
      <c r="Z117" s="5">
        <f t="shared" si="4"/>
        <v>18</v>
      </c>
      <c r="AA117" s="5">
        <f t="shared" si="5"/>
        <v>576</v>
      </c>
    </row>
    <row r="118" spans="1:27" ht="15.75" customHeight="1">
      <c r="A118" s="1">
        <v>110</v>
      </c>
      <c r="B118" s="56" t="s">
        <v>108</v>
      </c>
      <c r="C118" s="57" t="s">
        <v>480</v>
      </c>
      <c r="D118" s="67"/>
      <c r="E118" s="67"/>
      <c r="F118" s="193" t="s">
        <v>755</v>
      </c>
      <c r="G118" s="308">
        <v>1</v>
      </c>
      <c r="H118" s="308">
        <v>1</v>
      </c>
      <c r="I118" s="308">
        <v>1</v>
      </c>
      <c r="J118" s="308">
        <v>1</v>
      </c>
      <c r="K118" s="308">
        <v>1</v>
      </c>
      <c r="L118" s="308">
        <v>1</v>
      </c>
      <c r="M118" s="308">
        <v>1</v>
      </c>
      <c r="N118" s="308">
        <v>1</v>
      </c>
      <c r="O118" s="308">
        <v>1</v>
      </c>
      <c r="P118" s="308">
        <v>1</v>
      </c>
      <c r="Q118" s="308">
        <v>1</v>
      </c>
      <c r="R118" s="308">
        <v>1</v>
      </c>
      <c r="S118" s="308">
        <v>1</v>
      </c>
      <c r="T118" s="308">
        <v>1</v>
      </c>
      <c r="U118" s="308">
        <v>1</v>
      </c>
      <c r="V118" s="308">
        <v>1</v>
      </c>
      <c r="W118" s="308">
        <v>1</v>
      </c>
      <c r="X118" s="308">
        <v>1</v>
      </c>
      <c r="Y118" s="308"/>
      <c r="Z118" s="5">
        <f t="shared" si="4"/>
        <v>18</v>
      </c>
      <c r="AA118" s="5">
        <f t="shared" si="5"/>
        <v>576</v>
      </c>
    </row>
    <row r="119" spans="1:27" ht="15.75" customHeight="1">
      <c r="A119" s="1">
        <v>111</v>
      </c>
      <c r="B119" s="56" t="s">
        <v>310</v>
      </c>
      <c r="C119" s="57" t="s">
        <v>490</v>
      </c>
      <c r="D119" s="67"/>
      <c r="E119" s="67"/>
      <c r="F119" s="57"/>
      <c r="G119" s="308">
        <v>1</v>
      </c>
      <c r="H119" s="308">
        <v>1</v>
      </c>
      <c r="I119" s="308">
        <v>1</v>
      </c>
      <c r="J119" s="308">
        <v>1</v>
      </c>
      <c r="K119" s="10"/>
      <c r="L119" s="308">
        <v>1</v>
      </c>
      <c r="M119" s="57"/>
      <c r="N119" s="308">
        <v>1</v>
      </c>
      <c r="O119" s="308">
        <v>1</v>
      </c>
      <c r="P119" s="10"/>
      <c r="Q119" s="10"/>
      <c r="R119" s="10"/>
      <c r="S119" s="308">
        <v>1</v>
      </c>
      <c r="T119" s="308">
        <v>1</v>
      </c>
      <c r="U119" s="308">
        <v>1</v>
      </c>
      <c r="V119" s="307">
        <v>1</v>
      </c>
      <c r="W119" s="10"/>
      <c r="X119" s="10"/>
      <c r="Y119" s="10"/>
      <c r="Z119" s="5">
        <f t="shared" si="4"/>
        <v>11</v>
      </c>
      <c r="AA119" s="5">
        <f t="shared" si="5"/>
        <v>352</v>
      </c>
    </row>
    <row r="120" spans="1:27" ht="15.75" customHeight="1">
      <c r="A120" s="1">
        <v>112</v>
      </c>
      <c r="B120" s="56" t="s">
        <v>119</v>
      </c>
      <c r="C120" s="57" t="s">
        <v>572</v>
      </c>
      <c r="D120" s="68"/>
      <c r="E120" s="68"/>
      <c r="F120" s="142" t="s">
        <v>786</v>
      </c>
      <c r="G120" s="57"/>
      <c r="H120" s="57"/>
      <c r="I120" s="328">
        <v>1</v>
      </c>
      <c r="J120" s="328">
        <v>1</v>
      </c>
      <c r="K120" s="328">
        <v>1</v>
      </c>
      <c r="L120" s="328">
        <v>1</v>
      </c>
      <c r="M120" s="328">
        <v>1</v>
      </c>
      <c r="N120" s="328">
        <v>1</v>
      </c>
      <c r="O120" s="328">
        <v>1</v>
      </c>
      <c r="P120" s="328">
        <v>1</v>
      </c>
      <c r="Q120" s="328">
        <v>1</v>
      </c>
      <c r="R120" s="328">
        <v>1</v>
      </c>
      <c r="S120" s="328">
        <v>1</v>
      </c>
      <c r="T120" s="328">
        <v>1</v>
      </c>
      <c r="U120" s="328">
        <v>1</v>
      </c>
      <c r="V120" s="328">
        <v>1</v>
      </c>
      <c r="W120" s="328">
        <v>1</v>
      </c>
      <c r="X120" s="328">
        <v>1</v>
      </c>
      <c r="Y120" s="328"/>
      <c r="Z120" s="5">
        <f t="shared" si="4"/>
        <v>16</v>
      </c>
      <c r="AA120" s="5">
        <f t="shared" si="5"/>
        <v>512</v>
      </c>
    </row>
    <row r="121" spans="1:27" ht="15.75" customHeight="1">
      <c r="A121" s="1">
        <v>113</v>
      </c>
      <c r="B121" s="56" t="s">
        <v>392</v>
      </c>
      <c r="C121" s="57" t="s">
        <v>47</v>
      </c>
      <c r="D121" s="67"/>
      <c r="E121" s="69"/>
      <c r="F121" s="57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5">
        <f t="shared" si="4"/>
        <v>0</v>
      </c>
      <c r="AA121" s="5">
        <f t="shared" si="5"/>
        <v>0</v>
      </c>
    </row>
    <row r="122" spans="1:27" ht="15.75" customHeight="1">
      <c r="A122" s="1">
        <v>114</v>
      </c>
      <c r="B122" s="56" t="s">
        <v>393</v>
      </c>
      <c r="C122" s="57" t="s">
        <v>47</v>
      </c>
      <c r="D122" s="67"/>
      <c r="E122" s="69"/>
      <c r="F122" s="5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5">
        <f t="shared" si="4"/>
        <v>0</v>
      </c>
      <c r="AA122" s="5">
        <f t="shared" si="5"/>
        <v>0</v>
      </c>
    </row>
    <row r="123" spans="1:27" ht="15.75" customHeight="1">
      <c r="A123" s="1">
        <v>115</v>
      </c>
      <c r="B123" s="56" t="s">
        <v>394</v>
      </c>
      <c r="C123" s="57" t="s">
        <v>18</v>
      </c>
      <c r="D123" s="67"/>
      <c r="E123" s="69"/>
      <c r="F123" s="54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5">
        <f t="shared" si="4"/>
        <v>0</v>
      </c>
      <c r="AA123" s="5">
        <f t="shared" si="5"/>
        <v>0</v>
      </c>
    </row>
    <row r="124" spans="1:27" ht="15.75" customHeight="1">
      <c r="A124" s="1">
        <v>116</v>
      </c>
      <c r="B124" s="56" t="s">
        <v>245</v>
      </c>
      <c r="C124" s="57" t="s">
        <v>572</v>
      </c>
      <c r="D124" s="70"/>
      <c r="E124" s="71"/>
      <c r="F124" s="52"/>
      <c r="G124" s="308">
        <v>1</v>
      </c>
      <c r="H124" s="308">
        <v>1</v>
      </c>
      <c r="I124" s="308">
        <v>1</v>
      </c>
      <c r="J124" s="308">
        <v>1</v>
      </c>
      <c r="K124" s="308">
        <v>1</v>
      </c>
      <c r="L124" s="308">
        <v>1</v>
      </c>
      <c r="M124" s="308">
        <v>1</v>
      </c>
      <c r="N124" s="57"/>
      <c r="O124" s="308">
        <v>1</v>
      </c>
      <c r="P124" s="308">
        <v>1</v>
      </c>
      <c r="Q124" s="308">
        <v>1</v>
      </c>
      <c r="R124" s="308">
        <v>1</v>
      </c>
      <c r="S124" s="308">
        <v>1</v>
      </c>
      <c r="T124" s="308">
        <v>1</v>
      </c>
      <c r="U124" s="308">
        <v>1</v>
      </c>
      <c r="V124" s="308">
        <v>1</v>
      </c>
      <c r="W124" s="308">
        <v>1</v>
      </c>
      <c r="X124" s="308">
        <v>1</v>
      </c>
      <c r="Y124" s="57"/>
      <c r="Z124" s="5">
        <f t="shared" si="4"/>
        <v>17</v>
      </c>
      <c r="AA124" s="5">
        <f t="shared" si="5"/>
        <v>544</v>
      </c>
    </row>
    <row r="125" spans="1:27" ht="15.75" customHeight="1">
      <c r="A125" s="1">
        <v>117</v>
      </c>
      <c r="B125" s="56" t="s">
        <v>242</v>
      </c>
      <c r="C125" s="57" t="s">
        <v>51</v>
      </c>
      <c r="D125" s="68"/>
      <c r="E125" s="68"/>
      <c r="F125" s="48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5">
        <f t="shared" si="4"/>
        <v>0</v>
      </c>
      <c r="AA125" s="5">
        <f t="shared" si="5"/>
        <v>0</v>
      </c>
    </row>
    <row r="126" spans="1:27" ht="15.75" customHeight="1">
      <c r="A126" s="1">
        <v>118</v>
      </c>
      <c r="B126" s="56" t="s">
        <v>122</v>
      </c>
      <c r="C126" s="57" t="s">
        <v>490</v>
      </c>
      <c r="D126" s="68"/>
      <c r="E126" s="68"/>
      <c r="F126" s="57"/>
      <c r="G126" s="308">
        <v>1</v>
      </c>
      <c r="H126" s="308">
        <v>1</v>
      </c>
      <c r="I126" s="308">
        <v>1</v>
      </c>
      <c r="J126" s="308">
        <v>1</v>
      </c>
      <c r="K126" s="308">
        <v>1</v>
      </c>
      <c r="L126" s="308">
        <v>1</v>
      </c>
      <c r="M126" s="308">
        <v>1</v>
      </c>
      <c r="N126" s="308">
        <v>1</v>
      </c>
      <c r="O126" s="308">
        <v>1</v>
      </c>
      <c r="P126" s="308">
        <v>1</v>
      </c>
      <c r="Q126" s="308">
        <v>1</v>
      </c>
      <c r="R126" s="308">
        <v>1</v>
      </c>
      <c r="S126" s="308">
        <v>1</v>
      </c>
      <c r="T126" s="308">
        <v>1</v>
      </c>
      <c r="U126" s="308">
        <v>1</v>
      </c>
      <c r="V126" s="308">
        <v>1</v>
      </c>
      <c r="W126" s="308">
        <v>1</v>
      </c>
      <c r="X126" s="308">
        <v>1</v>
      </c>
      <c r="Y126" s="308"/>
      <c r="Z126" s="5">
        <f t="shared" si="4"/>
        <v>18</v>
      </c>
      <c r="AA126" s="5">
        <f t="shared" si="5"/>
        <v>576</v>
      </c>
    </row>
    <row r="127" spans="1:27" ht="15.75" customHeight="1">
      <c r="A127" s="1">
        <v>119</v>
      </c>
      <c r="B127" s="56" t="s">
        <v>214</v>
      </c>
      <c r="C127" s="57" t="s">
        <v>47</v>
      </c>
      <c r="D127" s="68"/>
      <c r="E127" s="68"/>
      <c r="F127" s="57"/>
      <c r="G127" s="308">
        <v>1</v>
      </c>
      <c r="H127" s="308">
        <v>1</v>
      </c>
      <c r="I127" s="308">
        <v>1</v>
      </c>
      <c r="J127" s="308">
        <v>1</v>
      </c>
      <c r="K127" s="308">
        <v>1</v>
      </c>
      <c r="L127" s="308">
        <v>1</v>
      </c>
      <c r="M127" s="308">
        <v>1</v>
      </c>
      <c r="N127" s="308">
        <v>1</v>
      </c>
      <c r="O127" s="308">
        <v>1</v>
      </c>
      <c r="P127" s="308">
        <v>1</v>
      </c>
      <c r="Q127" s="308">
        <v>1</v>
      </c>
      <c r="R127" s="308">
        <v>1</v>
      </c>
      <c r="S127" s="308">
        <v>1</v>
      </c>
      <c r="T127" s="308">
        <v>1</v>
      </c>
      <c r="U127" s="308">
        <v>1</v>
      </c>
      <c r="V127" s="308">
        <v>1</v>
      </c>
      <c r="W127" s="308">
        <v>0</v>
      </c>
      <c r="X127" s="308">
        <v>0</v>
      </c>
      <c r="Y127" s="308"/>
      <c r="Z127" s="5">
        <f t="shared" si="4"/>
        <v>16</v>
      </c>
      <c r="AA127" s="5">
        <f t="shared" si="5"/>
        <v>512</v>
      </c>
    </row>
    <row r="128" spans="1:27" ht="15.75" customHeight="1">
      <c r="A128" s="1">
        <v>120</v>
      </c>
      <c r="B128" s="56" t="s">
        <v>395</v>
      </c>
      <c r="C128" s="57" t="s">
        <v>47</v>
      </c>
      <c r="D128" s="67"/>
      <c r="E128" s="67"/>
      <c r="F128" s="56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5">
        <f t="shared" si="4"/>
        <v>0</v>
      </c>
      <c r="AA128" s="5">
        <f t="shared" si="5"/>
        <v>0</v>
      </c>
    </row>
    <row r="129" spans="1:27" ht="15.75" customHeight="1">
      <c r="A129" s="1">
        <v>121</v>
      </c>
      <c r="B129" s="56" t="s">
        <v>67</v>
      </c>
      <c r="C129" s="57" t="s">
        <v>18</v>
      </c>
      <c r="D129" s="67"/>
      <c r="E129" s="67"/>
      <c r="F129" s="56"/>
      <c r="G129" s="10"/>
      <c r="H129" s="10"/>
      <c r="I129" s="308">
        <v>1</v>
      </c>
      <c r="J129" s="10"/>
      <c r="K129" s="10"/>
      <c r="L129" s="308">
        <v>1</v>
      </c>
      <c r="M129" s="10"/>
      <c r="N129" s="308">
        <v>1</v>
      </c>
      <c r="O129" s="10"/>
      <c r="P129" s="10"/>
      <c r="Q129" s="308">
        <v>1</v>
      </c>
      <c r="R129" s="10"/>
      <c r="S129" s="10"/>
      <c r="T129" s="10"/>
      <c r="U129" s="10"/>
      <c r="V129" s="10"/>
      <c r="W129" s="10"/>
      <c r="X129" s="10"/>
      <c r="Y129" s="10"/>
      <c r="Z129" s="5">
        <f t="shared" si="4"/>
        <v>4</v>
      </c>
      <c r="AA129" s="5">
        <f t="shared" si="5"/>
        <v>128</v>
      </c>
    </row>
    <row r="130" spans="1:27" ht="15.75" customHeight="1">
      <c r="A130" s="1">
        <v>122</v>
      </c>
      <c r="B130" s="56" t="s">
        <v>396</v>
      </c>
      <c r="C130" s="57" t="s">
        <v>18</v>
      </c>
      <c r="D130" s="67"/>
      <c r="E130" s="67"/>
      <c r="F130" s="57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5">
        <f t="shared" si="4"/>
        <v>0</v>
      </c>
      <c r="AA130" s="5">
        <f t="shared" si="5"/>
        <v>0</v>
      </c>
    </row>
    <row r="131" spans="1:27" ht="15.75" customHeight="1">
      <c r="A131" s="1">
        <v>123</v>
      </c>
      <c r="B131" s="56" t="s">
        <v>397</v>
      </c>
      <c r="C131" s="57" t="s">
        <v>51</v>
      </c>
      <c r="D131" s="67"/>
      <c r="E131" s="69"/>
      <c r="F131" s="5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5">
        <f t="shared" si="4"/>
        <v>0</v>
      </c>
      <c r="AA131" s="5">
        <f t="shared" si="5"/>
        <v>0</v>
      </c>
    </row>
    <row r="132" spans="1:27" ht="15.75" customHeight="1">
      <c r="A132" s="1">
        <v>124</v>
      </c>
      <c r="B132" s="56" t="s">
        <v>693</v>
      </c>
      <c r="C132" s="57" t="s">
        <v>18</v>
      </c>
      <c r="D132" s="67"/>
      <c r="E132" s="69"/>
      <c r="F132" s="50"/>
      <c r="G132" s="308">
        <v>1</v>
      </c>
      <c r="H132" s="308">
        <v>1</v>
      </c>
      <c r="I132" s="308">
        <v>1</v>
      </c>
      <c r="J132" s="308">
        <v>1</v>
      </c>
      <c r="K132" s="308">
        <v>1</v>
      </c>
      <c r="L132" s="308">
        <v>1</v>
      </c>
      <c r="M132" s="308">
        <v>1</v>
      </c>
      <c r="N132" s="308">
        <v>1</v>
      </c>
      <c r="O132" s="308">
        <v>1</v>
      </c>
      <c r="P132" s="308">
        <v>1</v>
      </c>
      <c r="Q132" s="308">
        <v>1</v>
      </c>
      <c r="R132" s="308">
        <v>1</v>
      </c>
      <c r="S132" s="308">
        <v>1</v>
      </c>
      <c r="T132" s="308">
        <v>1</v>
      </c>
      <c r="U132" s="308">
        <v>1</v>
      </c>
      <c r="V132" s="308">
        <v>1</v>
      </c>
      <c r="W132" s="308">
        <v>1</v>
      </c>
      <c r="X132" s="308">
        <v>1</v>
      </c>
      <c r="Y132" s="308"/>
      <c r="Z132" s="5">
        <f t="shared" si="4"/>
        <v>18</v>
      </c>
      <c r="AA132" s="5">
        <f t="shared" si="5"/>
        <v>576</v>
      </c>
    </row>
    <row r="133" spans="1:27" ht="15.75" customHeight="1">
      <c r="A133" s="1">
        <v>125</v>
      </c>
      <c r="B133" s="56" t="s">
        <v>611</v>
      </c>
      <c r="C133" s="57" t="s">
        <v>490</v>
      </c>
      <c r="D133" s="67"/>
      <c r="E133" s="69"/>
      <c r="F133" s="50"/>
      <c r="G133" s="10"/>
      <c r="H133" s="10"/>
      <c r="I133" s="308">
        <v>1</v>
      </c>
      <c r="J133" s="308">
        <v>1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308">
        <v>1</v>
      </c>
      <c r="U133" s="10"/>
      <c r="V133" s="10"/>
      <c r="W133" s="10"/>
      <c r="X133" s="10"/>
      <c r="Y133" s="10"/>
      <c r="Z133" s="5">
        <f t="shared" si="4"/>
        <v>3</v>
      </c>
      <c r="AA133" s="5">
        <f t="shared" si="5"/>
        <v>96</v>
      </c>
    </row>
    <row r="134" spans="1:27" ht="15.75" customHeight="1">
      <c r="A134" s="1">
        <v>126</v>
      </c>
      <c r="B134" s="56" t="s">
        <v>277</v>
      </c>
      <c r="C134" s="57" t="s">
        <v>18</v>
      </c>
      <c r="D134" s="67"/>
      <c r="E134" s="69"/>
      <c r="F134" s="5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5">
        <f t="shared" si="4"/>
        <v>0</v>
      </c>
      <c r="AA134" s="5">
        <f t="shared" si="5"/>
        <v>0</v>
      </c>
    </row>
    <row r="135" spans="1:27" ht="15.75" customHeight="1">
      <c r="A135" s="1">
        <v>127</v>
      </c>
      <c r="B135" s="56" t="s">
        <v>398</v>
      </c>
      <c r="C135" s="57" t="s">
        <v>18</v>
      </c>
      <c r="D135" s="67"/>
      <c r="E135" s="67"/>
      <c r="F135" s="57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5">
        <f t="shared" si="4"/>
        <v>0</v>
      </c>
      <c r="AA135" s="5">
        <f t="shared" si="5"/>
        <v>0</v>
      </c>
    </row>
    <row r="136" spans="1:27" ht="15.75" customHeight="1">
      <c r="A136" s="1">
        <v>128</v>
      </c>
      <c r="B136" s="56" t="s">
        <v>274</v>
      </c>
      <c r="C136" s="57" t="s">
        <v>47</v>
      </c>
      <c r="D136" s="68"/>
      <c r="E136" s="68"/>
      <c r="F136" s="57"/>
      <c r="G136" s="308">
        <v>1</v>
      </c>
      <c r="H136" s="308">
        <v>1</v>
      </c>
      <c r="I136" s="308">
        <v>1</v>
      </c>
      <c r="J136" s="308">
        <v>1</v>
      </c>
      <c r="K136" s="308">
        <v>1</v>
      </c>
      <c r="L136" s="308">
        <v>0</v>
      </c>
      <c r="M136" s="308">
        <v>1</v>
      </c>
      <c r="N136" s="308">
        <v>1</v>
      </c>
      <c r="O136" s="308">
        <v>1</v>
      </c>
      <c r="P136" s="308">
        <v>1</v>
      </c>
      <c r="Q136" s="308">
        <v>1</v>
      </c>
      <c r="R136" s="308">
        <v>1</v>
      </c>
      <c r="S136" s="308">
        <v>1</v>
      </c>
      <c r="T136" s="308">
        <v>1</v>
      </c>
      <c r="U136" s="308">
        <v>1</v>
      </c>
      <c r="V136" s="307">
        <v>1</v>
      </c>
      <c r="W136" s="307">
        <v>1</v>
      </c>
      <c r="X136" s="307">
        <v>1</v>
      </c>
      <c r="Y136" s="307"/>
      <c r="Z136" s="5">
        <f t="shared" si="4"/>
        <v>17</v>
      </c>
      <c r="AA136" s="5">
        <f t="shared" si="5"/>
        <v>544</v>
      </c>
    </row>
    <row r="137" spans="1:27" ht="15.75" customHeight="1">
      <c r="A137" s="1">
        <v>129</v>
      </c>
      <c r="B137" s="56" t="s">
        <v>179</v>
      </c>
      <c r="C137" s="57" t="s">
        <v>572</v>
      </c>
      <c r="D137" s="68"/>
      <c r="E137" s="68"/>
      <c r="F137" s="173" t="s">
        <v>798</v>
      </c>
      <c r="G137" s="308">
        <v>1</v>
      </c>
      <c r="H137" s="308">
        <v>1</v>
      </c>
      <c r="I137" s="308">
        <v>1</v>
      </c>
      <c r="J137" s="328">
        <v>1</v>
      </c>
      <c r="K137" s="328">
        <v>1</v>
      </c>
      <c r="L137" s="328">
        <v>1</v>
      </c>
      <c r="M137" s="57"/>
      <c r="N137" s="57"/>
      <c r="O137" s="308">
        <v>1</v>
      </c>
      <c r="P137" s="308">
        <v>1</v>
      </c>
      <c r="Q137" s="308">
        <v>1</v>
      </c>
      <c r="R137" s="308">
        <v>1</v>
      </c>
      <c r="S137" s="308">
        <v>1</v>
      </c>
      <c r="T137" s="328">
        <v>1</v>
      </c>
      <c r="U137" s="308">
        <v>1</v>
      </c>
      <c r="V137" s="328">
        <v>1</v>
      </c>
      <c r="W137" s="328">
        <v>1</v>
      </c>
      <c r="X137" s="328">
        <v>1</v>
      </c>
      <c r="Y137" s="307"/>
      <c r="Z137" s="5">
        <f>+SUM(G137:Y137)</f>
        <v>16</v>
      </c>
      <c r="AA137" s="5">
        <f t="shared" si="5"/>
        <v>512</v>
      </c>
    </row>
    <row r="138" spans="1:27" ht="15.75" customHeight="1">
      <c r="A138" s="1">
        <v>130</v>
      </c>
      <c r="B138" s="56" t="s">
        <v>141</v>
      </c>
      <c r="C138" s="57" t="s">
        <v>47</v>
      </c>
      <c r="D138" s="67"/>
      <c r="E138" s="69"/>
      <c r="F138" s="50"/>
      <c r="G138" s="308">
        <v>1</v>
      </c>
      <c r="H138" s="308">
        <v>1</v>
      </c>
      <c r="I138" s="308">
        <v>1</v>
      </c>
      <c r="J138" s="308">
        <v>1</v>
      </c>
      <c r="K138" s="308">
        <v>1</v>
      </c>
      <c r="L138" s="308">
        <v>1</v>
      </c>
      <c r="M138" s="308">
        <v>1</v>
      </c>
      <c r="N138" s="308">
        <v>1</v>
      </c>
      <c r="O138" s="57"/>
      <c r="P138" s="57"/>
      <c r="Q138" s="308">
        <v>1</v>
      </c>
      <c r="R138" s="308">
        <v>1</v>
      </c>
      <c r="S138" s="308">
        <v>1</v>
      </c>
      <c r="T138" s="308">
        <v>1</v>
      </c>
      <c r="U138" s="308">
        <v>1</v>
      </c>
      <c r="V138" s="308">
        <v>1</v>
      </c>
      <c r="W138" s="308">
        <v>1</v>
      </c>
      <c r="X138" s="308">
        <v>1</v>
      </c>
      <c r="Y138" s="57"/>
      <c r="Z138" s="5">
        <f t="shared" si="4"/>
        <v>16</v>
      </c>
      <c r="AA138" s="5">
        <f t="shared" si="5"/>
        <v>512</v>
      </c>
    </row>
    <row r="139" spans="1:27" ht="15.75" customHeight="1">
      <c r="A139" s="1">
        <v>131</v>
      </c>
      <c r="B139" s="56" t="s">
        <v>399</v>
      </c>
      <c r="C139" s="57" t="s">
        <v>51</v>
      </c>
      <c r="D139" s="67"/>
      <c r="E139" s="69"/>
      <c r="F139" s="50"/>
      <c r="G139" s="308">
        <v>1</v>
      </c>
      <c r="H139" s="308">
        <v>1</v>
      </c>
      <c r="I139" s="308">
        <v>1</v>
      </c>
      <c r="J139" s="308">
        <v>1</v>
      </c>
      <c r="K139" s="308">
        <v>1</v>
      </c>
      <c r="L139" s="308">
        <v>1</v>
      </c>
      <c r="M139" s="308">
        <v>1</v>
      </c>
      <c r="N139" s="308">
        <v>1</v>
      </c>
      <c r="O139" s="308">
        <v>1</v>
      </c>
      <c r="P139" s="308">
        <v>1</v>
      </c>
      <c r="Q139" s="308">
        <v>1</v>
      </c>
      <c r="R139" s="308">
        <v>1</v>
      </c>
      <c r="S139" s="308">
        <v>1</v>
      </c>
      <c r="T139" s="308">
        <v>1</v>
      </c>
      <c r="U139" s="308">
        <v>1</v>
      </c>
      <c r="V139" s="308">
        <v>1</v>
      </c>
      <c r="W139" s="308">
        <v>1</v>
      </c>
      <c r="X139" s="308">
        <v>1</v>
      </c>
      <c r="Y139" s="308"/>
      <c r="Z139" s="5">
        <f t="shared" si="4"/>
        <v>18</v>
      </c>
      <c r="AA139" s="5">
        <f t="shared" si="5"/>
        <v>576</v>
      </c>
    </row>
    <row r="140" spans="1:27" ht="15.75" customHeight="1">
      <c r="A140" s="1">
        <v>132</v>
      </c>
      <c r="B140" s="56" t="s">
        <v>530</v>
      </c>
      <c r="C140" s="57" t="s">
        <v>490</v>
      </c>
      <c r="D140" s="67"/>
      <c r="E140" s="69"/>
      <c r="F140" s="5"/>
      <c r="G140" s="308">
        <v>1</v>
      </c>
      <c r="H140" s="308">
        <v>1</v>
      </c>
      <c r="I140" s="308">
        <v>1</v>
      </c>
      <c r="J140" s="308">
        <v>1</v>
      </c>
      <c r="K140" s="308">
        <v>1</v>
      </c>
      <c r="L140" s="308">
        <v>1</v>
      </c>
      <c r="M140" s="308">
        <v>1</v>
      </c>
      <c r="N140" s="308">
        <v>1</v>
      </c>
      <c r="O140" s="308">
        <v>1</v>
      </c>
      <c r="P140" s="308">
        <v>1</v>
      </c>
      <c r="Q140" s="308">
        <v>1</v>
      </c>
      <c r="R140" s="308">
        <v>1</v>
      </c>
      <c r="S140" s="308">
        <v>1</v>
      </c>
      <c r="T140" s="308">
        <v>1</v>
      </c>
      <c r="U140" s="308">
        <v>1</v>
      </c>
      <c r="V140" s="308">
        <v>1</v>
      </c>
      <c r="W140" s="308">
        <v>0</v>
      </c>
      <c r="X140" s="308">
        <v>0</v>
      </c>
      <c r="Y140" s="308"/>
      <c r="Z140" s="5">
        <f t="shared" ref="Z140:Z157" si="6">+SUM(G140:Y140)</f>
        <v>16</v>
      </c>
      <c r="AA140" s="5">
        <f t="shared" ref="AA140:AA157" si="7">+Z140*32</f>
        <v>512</v>
      </c>
    </row>
    <row r="141" spans="1:27" ht="15.75" customHeight="1">
      <c r="A141" s="1">
        <v>133</v>
      </c>
      <c r="B141" s="56" t="s">
        <v>648</v>
      </c>
      <c r="C141" s="57" t="s">
        <v>572</v>
      </c>
      <c r="D141" s="67"/>
      <c r="E141" s="69"/>
      <c r="F141" s="5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5">
        <f t="shared" si="6"/>
        <v>0</v>
      </c>
      <c r="AA141" s="5">
        <f t="shared" si="7"/>
        <v>0</v>
      </c>
    </row>
    <row r="142" spans="1:27" ht="15.75" customHeight="1">
      <c r="A142" s="1">
        <v>134</v>
      </c>
      <c r="B142" s="56" t="s">
        <v>626</v>
      </c>
      <c r="C142" s="57" t="s">
        <v>572</v>
      </c>
      <c r="D142" s="67"/>
      <c r="E142" s="69"/>
      <c r="F142" s="5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5">
        <f t="shared" si="6"/>
        <v>0</v>
      </c>
      <c r="AA142" s="5">
        <f t="shared" si="7"/>
        <v>0</v>
      </c>
    </row>
    <row r="143" spans="1:27" ht="15.75" customHeight="1">
      <c r="A143" s="1">
        <v>135</v>
      </c>
      <c r="B143" s="56" t="s">
        <v>400</v>
      </c>
      <c r="C143" s="57" t="s">
        <v>47</v>
      </c>
      <c r="D143" s="73"/>
      <c r="E143" s="73"/>
      <c r="F143" s="6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5">
        <f t="shared" si="6"/>
        <v>0</v>
      </c>
      <c r="AA143" s="5">
        <f t="shared" si="7"/>
        <v>0</v>
      </c>
    </row>
    <row r="144" spans="1:27" ht="15.75" customHeight="1">
      <c r="A144" s="1">
        <v>136</v>
      </c>
      <c r="B144" s="56" t="s">
        <v>265</v>
      </c>
      <c r="C144" s="57" t="s">
        <v>51</v>
      </c>
      <c r="D144" s="67"/>
      <c r="E144" s="67"/>
      <c r="F144" s="57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5">
        <f t="shared" si="6"/>
        <v>0</v>
      </c>
      <c r="AA144" s="5">
        <f t="shared" si="7"/>
        <v>0</v>
      </c>
    </row>
    <row r="145" spans="1:27" ht="15.75" customHeight="1">
      <c r="A145" s="1">
        <v>137</v>
      </c>
      <c r="B145" s="56" t="s">
        <v>401</v>
      </c>
      <c r="C145" s="57" t="s">
        <v>18</v>
      </c>
      <c r="D145" s="74"/>
      <c r="E145" s="74"/>
      <c r="F145" s="173" t="s">
        <v>732</v>
      </c>
      <c r="G145" s="308">
        <v>1</v>
      </c>
      <c r="H145" s="10"/>
      <c r="I145" s="10"/>
      <c r="J145" s="308">
        <v>1</v>
      </c>
      <c r="K145" s="10"/>
      <c r="L145" s="10"/>
      <c r="M145" s="10"/>
      <c r="N145" s="10"/>
      <c r="O145" s="308">
        <v>1</v>
      </c>
      <c r="P145" s="10"/>
      <c r="Q145" s="10"/>
      <c r="R145" s="10"/>
      <c r="S145" s="10"/>
      <c r="T145" s="308">
        <v>1</v>
      </c>
      <c r="U145" s="10"/>
      <c r="V145" s="10"/>
      <c r="W145" s="10"/>
      <c r="X145" s="10"/>
      <c r="Y145" s="10"/>
      <c r="Z145" s="5">
        <f t="shared" si="6"/>
        <v>4</v>
      </c>
      <c r="AA145" s="5">
        <f t="shared" si="7"/>
        <v>128</v>
      </c>
    </row>
    <row r="146" spans="1:27" ht="15.75" customHeight="1">
      <c r="A146" s="1">
        <v>138</v>
      </c>
      <c r="B146" s="56" t="s">
        <v>404</v>
      </c>
      <c r="C146" s="57" t="s">
        <v>480</v>
      </c>
      <c r="D146" s="74"/>
      <c r="E146" s="74"/>
      <c r="F146" s="57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5">
        <f t="shared" si="6"/>
        <v>0</v>
      </c>
      <c r="AA146" s="5">
        <f t="shared" si="7"/>
        <v>0</v>
      </c>
    </row>
    <row r="147" spans="1:27" ht="15.75" customHeight="1">
      <c r="A147" s="1">
        <v>139</v>
      </c>
      <c r="B147" s="56" t="s">
        <v>474</v>
      </c>
      <c r="C147" s="57" t="s">
        <v>491</v>
      </c>
      <c r="D147" s="74"/>
      <c r="E147" s="74"/>
      <c r="F147" s="10"/>
      <c r="G147" s="308">
        <v>1</v>
      </c>
      <c r="H147" s="308">
        <v>1</v>
      </c>
      <c r="I147" s="308">
        <v>1</v>
      </c>
      <c r="J147" s="308">
        <v>1</v>
      </c>
      <c r="K147" s="308">
        <v>1</v>
      </c>
      <c r="L147" s="308">
        <v>1</v>
      </c>
      <c r="M147" s="308">
        <v>1</v>
      </c>
      <c r="N147" s="308">
        <v>1</v>
      </c>
      <c r="O147" s="308">
        <v>1</v>
      </c>
      <c r="P147" s="308">
        <v>1</v>
      </c>
      <c r="Q147" s="308">
        <v>1</v>
      </c>
      <c r="R147" s="308">
        <v>1</v>
      </c>
      <c r="S147" s="308">
        <v>1</v>
      </c>
      <c r="T147" s="308">
        <v>1</v>
      </c>
      <c r="U147" s="308">
        <v>1</v>
      </c>
      <c r="V147" s="308">
        <v>1</v>
      </c>
      <c r="W147" s="308">
        <v>1</v>
      </c>
      <c r="X147" s="308">
        <v>1</v>
      </c>
      <c r="Y147" s="57"/>
      <c r="Z147" s="5">
        <f t="shared" si="6"/>
        <v>18</v>
      </c>
      <c r="AA147" s="5">
        <f t="shared" si="7"/>
        <v>576</v>
      </c>
    </row>
    <row r="148" spans="1:27" ht="15.75" customHeight="1">
      <c r="A148" s="1">
        <v>140</v>
      </c>
      <c r="B148" s="56" t="s">
        <v>402</v>
      </c>
      <c r="C148" s="57" t="s">
        <v>47</v>
      </c>
      <c r="D148" s="74"/>
      <c r="E148" s="74"/>
      <c r="F148" s="173" t="s">
        <v>795</v>
      </c>
      <c r="G148" s="10"/>
      <c r="H148" s="10"/>
      <c r="I148" s="10"/>
      <c r="J148" s="308">
        <v>1</v>
      </c>
      <c r="K148" s="10"/>
      <c r="L148" s="10"/>
      <c r="M148" s="10"/>
      <c r="N148" s="10"/>
      <c r="O148" s="308">
        <v>1</v>
      </c>
      <c r="P148" s="10"/>
      <c r="Q148" s="10"/>
      <c r="R148" s="10"/>
      <c r="S148" s="10"/>
      <c r="T148" s="308">
        <v>1</v>
      </c>
      <c r="U148" s="10"/>
      <c r="V148" s="10"/>
      <c r="W148" s="10"/>
      <c r="X148" s="10"/>
      <c r="Y148" s="10"/>
      <c r="Z148" s="5">
        <f t="shared" si="6"/>
        <v>3</v>
      </c>
      <c r="AA148" s="5">
        <f t="shared" si="7"/>
        <v>96</v>
      </c>
    </row>
    <row r="149" spans="1:27" ht="15.75" customHeight="1">
      <c r="A149" s="1">
        <v>141</v>
      </c>
      <c r="B149" s="56" t="s">
        <v>403</v>
      </c>
      <c r="C149" s="57" t="s">
        <v>51</v>
      </c>
      <c r="D149" s="74"/>
      <c r="E149" s="74"/>
      <c r="F149" s="57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5">
        <f t="shared" si="6"/>
        <v>0</v>
      </c>
      <c r="AA149" s="5">
        <f t="shared" si="7"/>
        <v>0</v>
      </c>
    </row>
    <row r="150" spans="1:27" ht="15.75" customHeight="1">
      <c r="A150" s="1">
        <v>142</v>
      </c>
      <c r="B150" s="56" t="s">
        <v>404</v>
      </c>
      <c r="C150" s="57" t="s">
        <v>480</v>
      </c>
      <c r="D150" s="74"/>
      <c r="E150" s="74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5">
        <f t="shared" si="6"/>
        <v>0</v>
      </c>
      <c r="AA150" s="5">
        <f t="shared" si="7"/>
        <v>0</v>
      </c>
    </row>
    <row r="151" spans="1:27" ht="15.75" customHeight="1">
      <c r="A151" s="1">
        <v>143</v>
      </c>
      <c r="B151" s="56" t="s">
        <v>60</v>
      </c>
      <c r="C151" s="57" t="s">
        <v>480</v>
      </c>
      <c r="D151" s="74"/>
      <c r="E151" s="74"/>
      <c r="F151" s="57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5">
        <f t="shared" si="6"/>
        <v>0</v>
      </c>
      <c r="AA151" s="5">
        <f t="shared" si="7"/>
        <v>0</v>
      </c>
    </row>
    <row r="152" spans="1:27" ht="15.75" customHeight="1">
      <c r="A152" s="1">
        <v>144</v>
      </c>
      <c r="B152" s="51" t="s">
        <v>240</v>
      </c>
      <c r="C152" s="60" t="s">
        <v>51</v>
      </c>
      <c r="D152" s="74"/>
      <c r="E152" s="74"/>
      <c r="F152" s="10"/>
      <c r="G152" s="308">
        <v>1</v>
      </c>
      <c r="H152" s="308">
        <v>1</v>
      </c>
      <c r="I152" s="308">
        <v>1</v>
      </c>
      <c r="J152" s="308">
        <v>1</v>
      </c>
      <c r="K152" s="308">
        <v>1</v>
      </c>
      <c r="L152" s="308">
        <v>1</v>
      </c>
      <c r="M152" s="308">
        <v>1</v>
      </c>
      <c r="N152" s="308">
        <v>1</v>
      </c>
      <c r="O152" s="308">
        <v>1</v>
      </c>
      <c r="P152" s="308">
        <v>1</v>
      </c>
      <c r="Q152" s="308">
        <v>1</v>
      </c>
      <c r="R152" s="308">
        <v>1</v>
      </c>
      <c r="S152" s="308">
        <v>1</v>
      </c>
      <c r="T152" s="308">
        <v>1</v>
      </c>
      <c r="U152" s="308">
        <v>1</v>
      </c>
      <c r="V152" s="308">
        <v>1</v>
      </c>
      <c r="W152" s="308">
        <v>1</v>
      </c>
      <c r="X152" s="308">
        <v>1</v>
      </c>
      <c r="Y152" s="308"/>
      <c r="Z152" s="5">
        <f t="shared" si="6"/>
        <v>18</v>
      </c>
      <c r="AA152" s="5">
        <f t="shared" si="7"/>
        <v>576</v>
      </c>
    </row>
    <row r="153" spans="1:27" ht="15.75" customHeight="1">
      <c r="A153" s="1">
        <v>145</v>
      </c>
      <c r="B153" s="1"/>
      <c r="C153" s="10"/>
      <c r="D153" s="74"/>
      <c r="E153" s="7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5">
        <f t="shared" si="6"/>
        <v>0</v>
      </c>
      <c r="AA153" s="5">
        <f t="shared" si="7"/>
        <v>0</v>
      </c>
    </row>
    <row r="154" spans="1:27" ht="15.75" customHeight="1">
      <c r="A154" s="1">
        <v>146</v>
      </c>
      <c r="B154" s="1"/>
      <c r="C154" s="10"/>
      <c r="D154" s="74"/>
      <c r="E154" s="74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5">
        <f t="shared" si="6"/>
        <v>0</v>
      </c>
      <c r="AA154" s="5">
        <f t="shared" si="7"/>
        <v>0</v>
      </c>
    </row>
    <row r="155" spans="1:27" ht="15.75" customHeight="1">
      <c r="A155" s="1">
        <v>147</v>
      </c>
      <c r="B155" s="1"/>
      <c r="C155" s="10"/>
      <c r="D155" s="74"/>
      <c r="E155" s="74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5">
        <f t="shared" si="6"/>
        <v>0</v>
      </c>
      <c r="AA155" s="5">
        <f t="shared" si="7"/>
        <v>0</v>
      </c>
    </row>
    <row r="156" spans="1:27" ht="15.75" customHeight="1">
      <c r="A156" s="1">
        <v>148</v>
      </c>
      <c r="B156" s="1"/>
      <c r="C156" s="10"/>
      <c r="D156" s="74"/>
      <c r="E156" s="74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5">
        <f t="shared" si="6"/>
        <v>0</v>
      </c>
      <c r="AA156" s="5">
        <f t="shared" si="7"/>
        <v>0</v>
      </c>
    </row>
    <row r="157" spans="1:27" ht="15.75" customHeight="1">
      <c r="A157" s="1">
        <v>149</v>
      </c>
      <c r="B157" s="1"/>
      <c r="C157" s="10"/>
      <c r="D157" s="74"/>
      <c r="E157" s="74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5">
        <f t="shared" si="6"/>
        <v>0</v>
      </c>
      <c r="AA157" s="5">
        <f t="shared" si="7"/>
        <v>0</v>
      </c>
    </row>
    <row r="158" spans="1:27" ht="15.75" customHeight="1" thickBot="1">
      <c r="A158" s="1"/>
      <c r="B158" s="18"/>
      <c r="C158" s="18"/>
      <c r="D158" s="18"/>
      <c r="E158" s="18"/>
      <c r="F158" s="19"/>
      <c r="G158" s="20">
        <f t="shared" ref="G158:Y158" si="8">SUM(G9:G157)</f>
        <v>62</v>
      </c>
      <c r="H158" s="20">
        <f t="shared" si="8"/>
        <v>56</v>
      </c>
      <c r="I158" s="20">
        <f t="shared" si="8"/>
        <v>59</v>
      </c>
      <c r="J158" s="20">
        <f t="shared" si="8"/>
        <v>59</v>
      </c>
      <c r="K158" s="20">
        <f t="shared" si="8"/>
        <v>53</v>
      </c>
      <c r="L158" s="20">
        <f t="shared" si="8"/>
        <v>55</v>
      </c>
      <c r="M158" s="20">
        <f t="shared" si="8"/>
        <v>54</v>
      </c>
      <c r="N158" s="20">
        <f t="shared" si="8"/>
        <v>58</v>
      </c>
      <c r="O158" s="20">
        <f t="shared" si="8"/>
        <v>64</v>
      </c>
      <c r="P158" s="20">
        <f t="shared" si="8"/>
        <v>55</v>
      </c>
      <c r="Q158" s="20">
        <f t="shared" si="8"/>
        <v>55</v>
      </c>
      <c r="R158" s="20">
        <f t="shared" si="8"/>
        <v>55</v>
      </c>
      <c r="S158" s="20">
        <f t="shared" si="8"/>
        <v>58</v>
      </c>
      <c r="T158" s="20">
        <f t="shared" si="8"/>
        <v>62</v>
      </c>
      <c r="U158" s="20">
        <f t="shared" si="8"/>
        <v>58</v>
      </c>
      <c r="V158" s="20">
        <f t="shared" si="8"/>
        <v>52</v>
      </c>
      <c r="W158" s="20">
        <f t="shared" si="8"/>
        <v>50</v>
      </c>
      <c r="X158" s="20">
        <f t="shared" si="8"/>
        <v>58</v>
      </c>
      <c r="Y158" s="20">
        <f t="shared" si="8"/>
        <v>0</v>
      </c>
      <c r="Z158" s="435"/>
      <c r="AA158" s="436"/>
    </row>
    <row r="159" spans="1:27" ht="15.75" customHeight="1" thickBot="1">
      <c r="A159" s="1"/>
      <c r="C159" s="21"/>
      <c r="D159" s="22"/>
      <c r="E159" s="22"/>
      <c r="F159" s="16"/>
      <c r="G159" s="464"/>
      <c r="H159" s="464"/>
      <c r="I159" s="464"/>
      <c r="J159" s="464"/>
      <c r="K159" s="464"/>
      <c r="L159" s="464"/>
      <c r="M159" s="464"/>
      <c r="N159" s="464"/>
      <c r="O159" s="464"/>
      <c r="P159" s="464"/>
      <c r="Q159" s="464"/>
      <c r="R159" s="464"/>
      <c r="S159" s="464"/>
      <c r="T159" s="464"/>
      <c r="U159" s="464"/>
      <c r="V159" s="464"/>
      <c r="W159" s="464"/>
      <c r="X159" s="464"/>
      <c r="Y159" s="465"/>
      <c r="Z159" s="255">
        <f>+SUM(Z9:Z157)</f>
        <v>1022</v>
      </c>
      <c r="AA159" s="299"/>
    </row>
    <row r="160" spans="1:27" ht="15.75" customHeight="1" thickBot="1">
      <c r="A160" s="1"/>
      <c r="G160" s="429"/>
      <c r="H160" s="430"/>
      <c r="I160" s="430"/>
      <c r="J160" s="430"/>
      <c r="K160" s="430"/>
      <c r="L160" s="430"/>
      <c r="M160" s="430"/>
      <c r="N160" s="430"/>
      <c r="O160" s="430"/>
      <c r="P160" s="430"/>
      <c r="Q160" s="430"/>
      <c r="R160" s="430"/>
      <c r="S160" s="430"/>
      <c r="T160" s="430"/>
      <c r="U160" s="430"/>
      <c r="V160" s="430"/>
      <c r="W160" s="430"/>
      <c r="X160" s="430"/>
      <c r="Y160" s="430"/>
      <c r="Z160" s="431"/>
      <c r="AA160" s="292">
        <f>SUM(AA9:AA157)</f>
        <v>32704</v>
      </c>
    </row>
    <row r="161" spans="1:7" ht="15.75" customHeight="1">
      <c r="A161" s="1"/>
      <c r="G161" s="21"/>
    </row>
    <row r="162" spans="1:7" ht="15.75" customHeight="1">
      <c r="A162" s="1"/>
      <c r="G162" s="21"/>
    </row>
    <row r="163" spans="1:7" ht="15.75" customHeight="1">
      <c r="A163" s="1"/>
      <c r="G163" s="21"/>
    </row>
    <row r="164" spans="1:7" ht="15.75" customHeight="1">
      <c r="A164" s="1"/>
      <c r="G164" s="21"/>
    </row>
    <row r="165" spans="1:7" ht="15.75" customHeight="1">
      <c r="A165" s="1"/>
      <c r="G165" s="21"/>
    </row>
    <row r="166" spans="1:7" ht="15.75" customHeight="1">
      <c r="A166" s="1"/>
      <c r="G166" s="21"/>
    </row>
    <row r="167" spans="1:7" ht="15.75" customHeight="1">
      <c r="A167" s="1"/>
      <c r="G167" s="21"/>
    </row>
    <row r="168" spans="1:7" ht="15.75" customHeight="1">
      <c r="G168" s="21"/>
    </row>
    <row r="169" spans="1:7" ht="15.75" customHeight="1">
      <c r="G169" s="21"/>
    </row>
    <row r="170" spans="1:7" ht="15.75" customHeight="1">
      <c r="G170" s="21"/>
    </row>
    <row r="171" spans="1:7" ht="15.75" customHeight="1">
      <c r="G171" s="21"/>
    </row>
    <row r="172" spans="1:7" ht="15.75" customHeight="1">
      <c r="G172" s="21"/>
    </row>
    <row r="173" spans="1:7" ht="15.75" customHeight="1">
      <c r="G173" s="21"/>
    </row>
    <row r="174" spans="1:7" ht="15.75" customHeight="1">
      <c r="G174" s="21"/>
    </row>
    <row r="175" spans="1:7" ht="15.75" customHeight="1">
      <c r="G175" s="21"/>
    </row>
    <row r="176" spans="1:7" ht="15.75" customHeight="1">
      <c r="G176" s="21"/>
    </row>
    <row r="177" spans="7:7" ht="15.75" customHeight="1">
      <c r="G177" s="21"/>
    </row>
    <row r="178" spans="7:7" ht="15.75" customHeight="1">
      <c r="G178" s="21"/>
    </row>
    <row r="179" spans="7:7" ht="15.75" customHeight="1">
      <c r="G179" s="21"/>
    </row>
    <row r="180" spans="7:7" ht="15.75" customHeight="1">
      <c r="G180" s="21"/>
    </row>
    <row r="181" spans="7:7" ht="15.75" customHeight="1">
      <c r="G181" s="21"/>
    </row>
    <row r="182" spans="7:7" ht="15.75" customHeight="1">
      <c r="G182" s="21"/>
    </row>
    <row r="183" spans="7:7" ht="15.75" customHeight="1">
      <c r="G183" s="21"/>
    </row>
    <row r="184" spans="7:7" ht="15.75" customHeight="1">
      <c r="G184" s="21"/>
    </row>
    <row r="185" spans="7:7" ht="15.75" customHeight="1">
      <c r="G185" s="21"/>
    </row>
    <row r="186" spans="7:7" ht="15.75" customHeight="1">
      <c r="G186" s="21"/>
    </row>
    <row r="187" spans="7:7" ht="15.75" customHeight="1">
      <c r="G187" s="21"/>
    </row>
    <row r="188" spans="7:7" ht="15.75" customHeight="1">
      <c r="G188" s="21"/>
    </row>
    <row r="189" spans="7:7" ht="15.75" customHeight="1">
      <c r="G189" s="21"/>
    </row>
    <row r="190" spans="7:7" ht="15.75" customHeight="1">
      <c r="G190" s="21"/>
    </row>
    <row r="191" spans="7:7" ht="15.75" customHeight="1">
      <c r="G191" s="21"/>
    </row>
    <row r="192" spans="7:7" ht="15.75" customHeight="1">
      <c r="G192" s="21"/>
    </row>
    <row r="193" spans="7:7" ht="15.75" customHeight="1">
      <c r="G193" s="21"/>
    </row>
    <row r="194" spans="7:7" ht="15.75" customHeight="1">
      <c r="G194" s="21"/>
    </row>
    <row r="195" spans="7:7" ht="15.75" customHeight="1">
      <c r="G195" s="21"/>
    </row>
    <row r="196" spans="7:7" ht="15.75" customHeight="1">
      <c r="G196" s="21"/>
    </row>
    <row r="197" spans="7:7" ht="15.75" customHeight="1">
      <c r="G197" s="21"/>
    </row>
    <row r="198" spans="7:7" ht="15.75" customHeight="1">
      <c r="G198" s="21"/>
    </row>
    <row r="199" spans="7:7" ht="15.75" customHeight="1">
      <c r="G199" s="21"/>
    </row>
    <row r="200" spans="7:7" ht="15.75" customHeight="1">
      <c r="G200" s="21"/>
    </row>
    <row r="201" spans="7:7" ht="15.75" customHeight="1">
      <c r="G201" s="21"/>
    </row>
    <row r="202" spans="7:7" ht="15.75" customHeight="1">
      <c r="G202" s="21"/>
    </row>
    <row r="203" spans="7:7" ht="15.75" customHeight="1">
      <c r="G203" s="21"/>
    </row>
    <row r="204" spans="7:7" ht="15.75" customHeight="1">
      <c r="G204" s="21"/>
    </row>
    <row r="205" spans="7:7" ht="15.75" customHeight="1">
      <c r="G205" s="21"/>
    </row>
    <row r="206" spans="7:7" ht="15.75" customHeight="1">
      <c r="G206" s="21"/>
    </row>
    <row r="207" spans="7:7" ht="15.75" customHeight="1">
      <c r="G207" s="21"/>
    </row>
    <row r="208" spans="7:7" ht="15.75" customHeight="1">
      <c r="G208" s="21"/>
    </row>
    <row r="209" spans="7:7" ht="15.75" customHeight="1">
      <c r="G209" s="21"/>
    </row>
    <row r="210" spans="7:7" ht="15.75" customHeight="1">
      <c r="G210" s="21"/>
    </row>
    <row r="211" spans="7:7" ht="15.75" customHeight="1">
      <c r="G211" s="21"/>
    </row>
    <row r="212" spans="7:7" ht="15.75" customHeight="1">
      <c r="G212" s="21"/>
    </row>
    <row r="213" spans="7:7" ht="15.75" customHeight="1">
      <c r="G213" s="21"/>
    </row>
    <row r="214" spans="7:7" ht="15.75" customHeight="1">
      <c r="G214" s="21"/>
    </row>
    <row r="215" spans="7:7" ht="15.75" customHeight="1">
      <c r="G215" s="21"/>
    </row>
    <row r="216" spans="7:7" ht="15.75" customHeight="1">
      <c r="G216" s="21"/>
    </row>
    <row r="217" spans="7:7" ht="15.75" customHeight="1">
      <c r="G217" s="21"/>
    </row>
    <row r="218" spans="7:7" ht="15.75" customHeight="1">
      <c r="G218" s="21"/>
    </row>
    <row r="219" spans="7:7" ht="15.75" customHeight="1">
      <c r="G219" s="21"/>
    </row>
    <row r="220" spans="7:7" ht="15.75" customHeight="1">
      <c r="G220" s="21"/>
    </row>
    <row r="221" spans="7:7" ht="15.75" customHeight="1">
      <c r="G221" s="21"/>
    </row>
    <row r="222" spans="7:7" ht="15.75" customHeight="1">
      <c r="G222" s="21"/>
    </row>
    <row r="223" spans="7:7" ht="15.75" customHeight="1">
      <c r="G223" s="21"/>
    </row>
    <row r="224" spans="7:7" ht="15.75" customHeight="1">
      <c r="G224" s="21"/>
    </row>
    <row r="225" spans="7:7" ht="15.75" customHeight="1">
      <c r="G225" s="21"/>
    </row>
    <row r="226" spans="7:7" ht="15.75" customHeight="1">
      <c r="G226" s="21"/>
    </row>
    <row r="227" spans="7:7" ht="15.75" customHeight="1">
      <c r="G227" s="21"/>
    </row>
    <row r="228" spans="7:7" ht="15.75" customHeight="1">
      <c r="G228" s="21"/>
    </row>
    <row r="229" spans="7:7" ht="15.75" customHeight="1">
      <c r="G229" s="21"/>
    </row>
    <row r="230" spans="7:7" ht="15.75" customHeight="1">
      <c r="G230" s="21"/>
    </row>
    <row r="231" spans="7:7" ht="15.75" customHeight="1">
      <c r="G231" s="21"/>
    </row>
    <row r="232" spans="7:7" ht="15.75" customHeight="1">
      <c r="G232" s="21"/>
    </row>
    <row r="233" spans="7:7" ht="15.75" customHeight="1">
      <c r="G233" s="21"/>
    </row>
    <row r="234" spans="7:7" ht="15.75" customHeight="1">
      <c r="G234" s="21"/>
    </row>
    <row r="235" spans="7:7" ht="15.75" customHeight="1">
      <c r="G235" s="21"/>
    </row>
    <row r="236" spans="7:7" ht="15.75" customHeight="1">
      <c r="G236" s="21"/>
    </row>
    <row r="237" spans="7:7" ht="15.75" customHeight="1">
      <c r="G237" s="21"/>
    </row>
    <row r="238" spans="7:7" ht="15.75" customHeight="1">
      <c r="G238" s="21"/>
    </row>
    <row r="239" spans="7:7" ht="15.75" customHeight="1">
      <c r="G239" s="21"/>
    </row>
    <row r="240" spans="7:7" ht="15.75" customHeight="1">
      <c r="G240" s="21"/>
    </row>
    <row r="241" spans="7:7" ht="15.75" customHeight="1">
      <c r="G241" s="21"/>
    </row>
    <row r="242" spans="7:7" ht="15.75" customHeight="1">
      <c r="G242" s="21"/>
    </row>
    <row r="243" spans="7:7" ht="15.75" customHeight="1">
      <c r="G243" s="21"/>
    </row>
    <row r="244" spans="7:7" ht="15.75" customHeight="1">
      <c r="G244" s="21"/>
    </row>
    <row r="245" spans="7:7" ht="15.75" customHeight="1">
      <c r="G245" s="21"/>
    </row>
    <row r="246" spans="7:7" ht="15.75" customHeight="1">
      <c r="G246" s="21"/>
    </row>
    <row r="247" spans="7:7" ht="15.75" customHeight="1">
      <c r="G247" s="21"/>
    </row>
    <row r="248" spans="7:7" ht="15.75" customHeight="1">
      <c r="G248" s="21"/>
    </row>
    <row r="249" spans="7:7" ht="15.75" customHeight="1">
      <c r="G249" s="21"/>
    </row>
    <row r="250" spans="7:7" ht="15.75" customHeight="1">
      <c r="G250" s="21"/>
    </row>
    <row r="251" spans="7:7" ht="15.75" customHeight="1">
      <c r="G251" s="21"/>
    </row>
    <row r="252" spans="7:7" ht="15.75" customHeight="1">
      <c r="G252" s="21"/>
    </row>
    <row r="253" spans="7:7" ht="15.75" customHeight="1">
      <c r="G253" s="21"/>
    </row>
    <row r="254" spans="7:7" ht="15.75" customHeight="1">
      <c r="G254" s="21"/>
    </row>
    <row r="255" spans="7:7" ht="15.75" customHeight="1">
      <c r="G255" s="21"/>
    </row>
    <row r="256" spans="7:7" ht="15.75" customHeight="1">
      <c r="G256" s="21"/>
    </row>
    <row r="257" spans="7:7" ht="15.75" customHeight="1">
      <c r="G257" s="21"/>
    </row>
    <row r="258" spans="7:7" ht="15.75" customHeight="1">
      <c r="G258" s="21"/>
    </row>
    <row r="259" spans="7:7" ht="15.75" customHeight="1">
      <c r="G259" s="21"/>
    </row>
    <row r="260" spans="7:7" ht="15.75" customHeight="1">
      <c r="G260" s="21"/>
    </row>
    <row r="261" spans="7:7" ht="15.75" customHeight="1">
      <c r="G261" s="21"/>
    </row>
    <row r="262" spans="7:7" ht="15.75" customHeight="1">
      <c r="G262" s="21"/>
    </row>
    <row r="263" spans="7:7" ht="15.75" customHeight="1">
      <c r="G263" s="21"/>
    </row>
    <row r="264" spans="7:7" ht="15.75" customHeight="1">
      <c r="G264" s="21"/>
    </row>
    <row r="265" spans="7:7" ht="15.75" customHeight="1">
      <c r="G265" s="21"/>
    </row>
    <row r="266" spans="7:7" ht="15.75" customHeight="1">
      <c r="G266" s="21"/>
    </row>
    <row r="267" spans="7:7" ht="15.75" customHeight="1">
      <c r="G267" s="21"/>
    </row>
    <row r="268" spans="7:7" ht="15.75" customHeight="1">
      <c r="G268" s="21"/>
    </row>
    <row r="269" spans="7:7" ht="15.75" customHeight="1">
      <c r="G269" s="21"/>
    </row>
    <row r="270" spans="7:7" ht="15.75" customHeight="1">
      <c r="G270" s="21"/>
    </row>
    <row r="271" spans="7:7" ht="15.75" customHeight="1">
      <c r="G271" s="21"/>
    </row>
    <row r="272" spans="7:7" ht="15.75" customHeight="1">
      <c r="G272" s="21"/>
    </row>
    <row r="273" spans="7:7" ht="15.75" customHeight="1">
      <c r="G273" s="21"/>
    </row>
    <row r="274" spans="7:7" ht="15.75" customHeight="1">
      <c r="G274" s="21"/>
    </row>
    <row r="275" spans="7:7" ht="15.75" customHeight="1">
      <c r="G275" s="21"/>
    </row>
    <row r="276" spans="7:7" ht="15.75" customHeight="1">
      <c r="G276" s="21"/>
    </row>
    <row r="277" spans="7:7" ht="15.75" customHeight="1">
      <c r="G277" s="21"/>
    </row>
    <row r="278" spans="7:7" ht="15.75" customHeight="1">
      <c r="G278" s="21"/>
    </row>
    <row r="279" spans="7:7" ht="15.75" customHeight="1">
      <c r="G279" s="21"/>
    </row>
    <row r="280" spans="7:7" ht="15.75" customHeight="1">
      <c r="G280" s="21"/>
    </row>
    <row r="281" spans="7:7" ht="15.75" customHeight="1">
      <c r="G281" s="21"/>
    </row>
    <row r="282" spans="7:7" ht="15.75" customHeight="1">
      <c r="G282" s="21"/>
    </row>
    <row r="283" spans="7:7" ht="15.75" customHeight="1">
      <c r="G283" s="21"/>
    </row>
    <row r="284" spans="7:7" ht="15.75" customHeight="1">
      <c r="G284" s="21"/>
    </row>
    <row r="285" spans="7:7" ht="15.75" customHeight="1">
      <c r="G285" s="21"/>
    </row>
    <row r="286" spans="7:7" ht="15.75" customHeight="1">
      <c r="G286" s="21"/>
    </row>
    <row r="287" spans="7:7" ht="15.75" customHeight="1">
      <c r="G287" s="21"/>
    </row>
    <row r="288" spans="7:7" ht="15.75" customHeight="1">
      <c r="G288" s="21"/>
    </row>
    <row r="289" spans="7:7" ht="15.75" customHeight="1">
      <c r="G289" s="21"/>
    </row>
    <row r="290" spans="7:7" ht="15.75" customHeight="1">
      <c r="G290" s="21"/>
    </row>
    <row r="291" spans="7:7" ht="15.75" customHeight="1">
      <c r="G291" s="21"/>
    </row>
    <row r="292" spans="7:7" ht="15.75" customHeight="1">
      <c r="G292" s="21"/>
    </row>
    <row r="293" spans="7:7" ht="15.75" customHeight="1">
      <c r="G293" s="21"/>
    </row>
    <row r="294" spans="7:7" ht="15.75" customHeight="1">
      <c r="G294" s="21"/>
    </row>
    <row r="295" spans="7:7" ht="15.75" customHeight="1">
      <c r="G295" s="21"/>
    </row>
    <row r="296" spans="7:7" ht="15.75" customHeight="1">
      <c r="G296" s="21"/>
    </row>
    <row r="297" spans="7:7" ht="15.75" customHeight="1">
      <c r="G297" s="21"/>
    </row>
    <row r="298" spans="7:7" ht="15.75" customHeight="1">
      <c r="G298" s="21"/>
    </row>
    <row r="299" spans="7:7" ht="15.75" customHeight="1">
      <c r="G299" s="21"/>
    </row>
    <row r="300" spans="7:7" ht="15.75" customHeight="1">
      <c r="G300" s="21"/>
    </row>
    <row r="301" spans="7:7" ht="15.75" customHeight="1">
      <c r="G301" s="21"/>
    </row>
    <row r="302" spans="7:7" ht="15.75" customHeight="1">
      <c r="G302" s="21"/>
    </row>
    <row r="303" spans="7:7" ht="15.75" customHeight="1">
      <c r="G303" s="21"/>
    </row>
    <row r="304" spans="7:7" ht="15.75" customHeight="1">
      <c r="G304" s="21"/>
    </row>
    <row r="305" spans="7:7" ht="15.75" customHeight="1">
      <c r="G305" s="21"/>
    </row>
    <row r="306" spans="7:7" ht="15.75" customHeight="1">
      <c r="G306" s="21"/>
    </row>
    <row r="307" spans="7:7" ht="15.75" customHeight="1">
      <c r="G307" s="21"/>
    </row>
    <row r="308" spans="7:7" ht="15.75" customHeight="1">
      <c r="G308" s="21"/>
    </row>
    <row r="309" spans="7:7" ht="15.75" customHeight="1">
      <c r="G309" s="21"/>
    </row>
    <row r="310" spans="7:7" ht="15.75" customHeight="1">
      <c r="G310" s="21"/>
    </row>
    <row r="311" spans="7:7" ht="15.75" customHeight="1">
      <c r="G311" s="21"/>
    </row>
    <row r="312" spans="7:7" ht="15.75" customHeight="1">
      <c r="G312" s="21"/>
    </row>
    <row r="313" spans="7:7" ht="15.75" customHeight="1">
      <c r="G313" s="21"/>
    </row>
    <row r="314" spans="7:7" ht="15.75" customHeight="1">
      <c r="G314" s="21"/>
    </row>
    <row r="315" spans="7:7" ht="15.75" customHeight="1">
      <c r="G315" s="21"/>
    </row>
    <row r="316" spans="7:7" ht="15.75" customHeight="1">
      <c r="G316" s="21"/>
    </row>
    <row r="317" spans="7:7" ht="15.75" customHeight="1">
      <c r="G317" s="21"/>
    </row>
    <row r="318" spans="7:7" ht="15.75" customHeight="1">
      <c r="G318" s="21"/>
    </row>
    <row r="319" spans="7:7" ht="15.75" customHeight="1">
      <c r="G319" s="21"/>
    </row>
    <row r="320" spans="7:7" ht="15.75" customHeight="1">
      <c r="G320" s="21"/>
    </row>
    <row r="321" spans="7:7" ht="15.75" customHeight="1">
      <c r="G321" s="21"/>
    </row>
    <row r="322" spans="7:7" ht="15.75" customHeight="1">
      <c r="G322" s="21"/>
    </row>
    <row r="323" spans="7:7" ht="15.75" customHeight="1">
      <c r="G323" s="21"/>
    </row>
    <row r="324" spans="7:7" ht="15.75" customHeight="1">
      <c r="G324" s="21"/>
    </row>
    <row r="325" spans="7:7" ht="15.75" customHeight="1">
      <c r="G325" s="21"/>
    </row>
    <row r="326" spans="7:7" ht="15.75" customHeight="1">
      <c r="G326" s="21"/>
    </row>
    <row r="327" spans="7:7" ht="15.75" customHeight="1">
      <c r="G327" s="21"/>
    </row>
    <row r="328" spans="7:7" ht="15.75" customHeight="1">
      <c r="G328" s="21"/>
    </row>
    <row r="329" spans="7:7" ht="15.75" customHeight="1">
      <c r="G329" s="21"/>
    </row>
    <row r="330" spans="7:7" ht="15.75" customHeight="1"/>
    <row r="331" spans="7:7" ht="15.75" customHeight="1"/>
    <row r="332" spans="7:7" ht="15.75" customHeight="1"/>
    <row r="333" spans="7:7" ht="15.75" customHeight="1"/>
    <row r="334" spans="7:7" ht="15.75" customHeight="1"/>
    <row r="335" spans="7:7" ht="15.75" customHeight="1"/>
    <row r="336" spans="7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</sheetData>
  <sortState ref="B9:W155">
    <sortCondition ref="B9:B155"/>
  </sortState>
  <mergeCells count="13">
    <mergeCell ref="G160:Z160"/>
    <mergeCell ref="A1:AA4"/>
    <mergeCell ref="A5:A8"/>
    <mergeCell ref="B5:B8"/>
    <mergeCell ref="C5:C8"/>
    <mergeCell ref="D5:D8"/>
    <mergeCell ref="E5:E8"/>
    <mergeCell ref="F5:F8"/>
    <mergeCell ref="Z5:Z8"/>
    <mergeCell ref="AA5:AA8"/>
    <mergeCell ref="Z158:AA158"/>
    <mergeCell ref="G5:Y5"/>
    <mergeCell ref="G159:Y159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071"/>
  <sheetViews>
    <sheetView tabSelected="1" zoomScale="98" workbookViewId="0">
      <pane ySplit="8" topLeftCell="A102" activePane="bottomLeft" state="frozen"/>
      <selection pane="bottomLeft" activeCell="B117" sqref="B117"/>
    </sheetView>
  </sheetViews>
  <sheetFormatPr baseColWidth="10" defaultColWidth="14.5" defaultRowHeight="15" customHeight="1"/>
  <cols>
    <col min="1" max="1" width="4.33203125" customWidth="1"/>
    <col min="2" max="2" width="27.5" customWidth="1"/>
    <col min="3" max="3" width="11.6640625" customWidth="1"/>
    <col min="4" max="4" width="10.5" customWidth="1"/>
    <col min="5" max="5" width="12" customWidth="1"/>
    <col min="6" max="6" width="34.33203125" customWidth="1"/>
    <col min="7" max="25" width="3.6640625" customWidth="1"/>
    <col min="26" max="27" width="10.6640625" customWidth="1"/>
  </cols>
  <sheetData>
    <row r="1" spans="1:28" ht="15" customHeight="1">
      <c r="A1" s="468" t="s">
        <v>679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301"/>
    </row>
    <row r="2" spans="1:28">
      <c r="A2" s="470"/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1"/>
      <c r="X2" s="471"/>
      <c r="Y2" s="471"/>
      <c r="Z2" s="471"/>
      <c r="AA2" s="471"/>
    </row>
    <row r="3" spans="1:28">
      <c r="A3" s="470"/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471"/>
      <c r="S3" s="471"/>
      <c r="T3" s="471"/>
      <c r="U3" s="471"/>
      <c r="V3" s="471"/>
      <c r="W3" s="471"/>
      <c r="X3" s="471"/>
      <c r="Y3" s="471"/>
      <c r="Z3" s="471"/>
      <c r="AA3" s="471"/>
    </row>
    <row r="4" spans="1:28" ht="16" thickBot="1">
      <c r="A4" s="470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  <c r="T4" s="471"/>
      <c r="U4" s="471"/>
      <c r="V4" s="471"/>
      <c r="W4" s="471"/>
      <c r="X4" s="471"/>
      <c r="Y4" s="471"/>
      <c r="Z4" s="471"/>
      <c r="AA4" s="471"/>
      <c r="AB4" s="170"/>
    </row>
    <row r="5" spans="1:28" ht="15" customHeight="1" thickBot="1">
      <c r="A5" s="472" t="s">
        <v>24</v>
      </c>
      <c r="B5" s="445" t="s">
        <v>0</v>
      </c>
      <c r="C5" s="445" t="s">
        <v>1</v>
      </c>
      <c r="D5" s="473" t="s">
        <v>2</v>
      </c>
      <c r="E5" s="473" t="s">
        <v>3</v>
      </c>
      <c r="F5" s="458" t="s">
        <v>9</v>
      </c>
      <c r="G5" s="451" t="s">
        <v>747</v>
      </c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3"/>
      <c r="Z5" s="432" t="s">
        <v>10</v>
      </c>
      <c r="AA5" s="432" t="s">
        <v>11</v>
      </c>
    </row>
    <row r="6" spans="1:28">
      <c r="A6" s="433"/>
      <c r="B6" s="433"/>
      <c r="C6" s="433"/>
      <c r="D6" s="433"/>
      <c r="E6" s="433"/>
      <c r="F6" s="438"/>
      <c r="G6" s="261" t="s">
        <v>12</v>
      </c>
      <c r="H6" s="261" t="s">
        <v>13</v>
      </c>
      <c r="I6" s="261" t="s">
        <v>13</v>
      </c>
      <c r="J6" s="261" t="s">
        <v>12</v>
      </c>
      <c r="K6" s="261" t="s">
        <v>13</v>
      </c>
      <c r="L6" s="261" t="s">
        <v>13</v>
      </c>
      <c r="M6" s="261" t="s">
        <v>14</v>
      </c>
      <c r="N6" s="261" t="s">
        <v>15</v>
      </c>
      <c r="O6" s="261" t="s">
        <v>12</v>
      </c>
      <c r="P6" s="261" t="s">
        <v>13</v>
      </c>
      <c r="Q6" s="261" t="s">
        <v>13</v>
      </c>
      <c r="R6" s="261" t="s">
        <v>14</v>
      </c>
      <c r="S6" s="261" t="s">
        <v>15</v>
      </c>
      <c r="T6" s="261" t="s">
        <v>12</v>
      </c>
      <c r="U6" s="261" t="s">
        <v>13</v>
      </c>
      <c r="V6" s="261" t="s">
        <v>13</v>
      </c>
      <c r="W6" s="261" t="s">
        <v>14</v>
      </c>
      <c r="X6" s="261" t="s">
        <v>15</v>
      </c>
      <c r="Y6" s="261" t="s">
        <v>12</v>
      </c>
      <c r="Z6" s="433"/>
      <c r="AA6" s="433"/>
    </row>
    <row r="7" spans="1:28">
      <c r="A7" s="433"/>
      <c r="B7" s="433"/>
      <c r="C7" s="433"/>
      <c r="D7" s="433"/>
      <c r="E7" s="433"/>
      <c r="F7" s="438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3">
        <v>13</v>
      </c>
      <c r="T7" s="3">
        <v>14</v>
      </c>
      <c r="U7" s="3">
        <v>15</v>
      </c>
      <c r="V7" s="3">
        <v>16</v>
      </c>
      <c r="W7" s="3">
        <v>17</v>
      </c>
      <c r="X7" s="3">
        <v>18</v>
      </c>
      <c r="Y7" s="3">
        <v>19</v>
      </c>
      <c r="Z7" s="433"/>
      <c r="AA7" s="433"/>
    </row>
    <row r="8" spans="1:28">
      <c r="A8" s="433"/>
      <c r="B8" s="433"/>
      <c r="C8" s="433"/>
      <c r="D8" s="433"/>
      <c r="E8" s="433"/>
      <c r="F8" s="447"/>
      <c r="G8" s="4">
        <v>3</v>
      </c>
      <c r="H8" s="4">
        <v>4</v>
      </c>
      <c r="I8" s="4">
        <v>5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17</v>
      </c>
      <c r="P8" s="4">
        <v>18</v>
      </c>
      <c r="Q8" s="4">
        <v>19</v>
      </c>
      <c r="R8" s="4">
        <v>20</v>
      </c>
      <c r="S8" s="4">
        <v>21</v>
      </c>
      <c r="T8" s="4">
        <v>24</v>
      </c>
      <c r="U8" s="4">
        <v>25</v>
      </c>
      <c r="V8" s="4">
        <v>26</v>
      </c>
      <c r="W8" s="4">
        <v>27</v>
      </c>
      <c r="X8" s="4">
        <v>28</v>
      </c>
      <c r="Y8" s="4">
        <v>31</v>
      </c>
      <c r="Z8" s="434"/>
      <c r="AA8" s="434"/>
    </row>
    <row r="9" spans="1:28">
      <c r="A9" s="108">
        <v>1</v>
      </c>
      <c r="B9" s="108" t="s">
        <v>406</v>
      </c>
      <c r="C9" s="111" t="s">
        <v>83</v>
      </c>
      <c r="D9" s="161"/>
      <c r="E9" s="161"/>
      <c r="F9" s="417"/>
      <c r="G9" s="320">
        <v>1</v>
      </c>
      <c r="H9" s="320">
        <v>1</v>
      </c>
      <c r="I9" s="320"/>
      <c r="J9" s="320">
        <v>1</v>
      </c>
      <c r="K9" s="320">
        <v>1</v>
      </c>
      <c r="L9" s="320">
        <v>1</v>
      </c>
      <c r="M9" s="320">
        <v>1</v>
      </c>
      <c r="N9" s="320">
        <v>1</v>
      </c>
      <c r="O9" s="320">
        <v>1</v>
      </c>
      <c r="P9" s="320">
        <v>1</v>
      </c>
      <c r="Q9" s="320">
        <v>1</v>
      </c>
      <c r="R9" s="320">
        <v>1</v>
      </c>
      <c r="S9" s="320">
        <v>1</v>
      </c>
      <c r="T9" s="320">
        <v>1</v>
      </c>
      <c r="U9" s="320">
        <v>1</v>
      </c>
      <c r="V9" s="320">
        <v>1</v>
      </c>
      <c r="W9" s="321">
        <v>1</v>
      </c>
      <c r="X9" s="320">
        <v>1</v>
      </c>
      <c r="Y9" s="320"/>
      <c r="Z9" s="160">
        <f t="shared" ref="Z9" si="0">+SUM(G9:Y9)</f>
        <v>17</v>
      </c>
      <c r="AA9" s="5">
        <f t="shared" ref="AA9" si="1">+Z9*35</f>
        <v>595</v>
      </c>
    </row>
    <row r="10" spans="1:28">
      <c r="A10" s="170">
        <v>2</v>
      </c>
      <c r="B10" s="108" t="s">
        <v>573</v>
      </c>
      <c r="C10" s="111" t="s">
        <v>26</v>
      </c>
      <c r="D10" s="161"/>
      <c r="E10" s="161"/>
      <c r="F10" s="121"/>
      <c r="G10" s="320">
        <v>1</v>
      </c>
      <c r="H10" s="282"/>
      <c r="I10" s="282"/>
      <c r="J10" s="320">
        <v>1</v>
      </c>
      <c r="K10" s="282"/>
      <c r="L10" s="282"/>
      <c r="M10" s="282"/>
      <c r="N10" s="282"/>
      <c r="O10" s="320">
        <v>1</v>
      </c>
      <c r="P10" s="282"/>
      <c r="Q10" s="282"/>
      <c r="R10" s="282"/>
      <c r="S10" s="282"/>
      <c r="T10" s="322">
        <v>1</v>
      </c>
      <c r="U10" s="282"/>
      <c r="V10" s="282"/>
      <c r="W10" s="283"/>
      <c r="X10" s="282"/>
      <c r="Y10" s="282"/>
      <c r="Z10" s="160">
        <f t="shared" ref="Z10:Z74" si="2">+SUM(G10:Y10)</f>
        <v>4</v>
      </c>
      <c r="AA10" s="5">
        <f t="shared" ref="AA10:AA74" si="3">+Z10*35</f>
        <v>140</v>
      </c>
    </row>
    <row r="11" spans="1:28">
      <c r="A11" s="108">
        <v>3</v>
      </c>
      <c r="B11" s="108" t="s">
        <v>728</v>
      </c>
      <c r="C11" s="111" t="s">
        <v>26</v>
      </c>
      <c r="D11" s="161"/>
      <c r="E11" s="161"/>
      <c r="F11" s="121"/>
      <c r="G11" s="320">
        <v>1</v>
      </c>
      <c r="H11" s="320">
        <v>1</v>
      </c>
      <c r="I11" s="95"/>
      <c r="J11" s="320">
        <v>1</v>
      </c>
      <c r="K11" s="320">
        <v>1</v>
      </c>
      <c r="L11" s="320">
        <v>1</v>
      </c>
      <c r="M11" s="320">
        <v>1</v>
      </c>
      <c r="N11" s="320">
        <v>1</v>
      </c>
      <c r="O11" s="320">
        <v>1</v>
      </c>
      <c r="P11" s="320">
        <v>1</v>
      </c>
      <c r="Q11" s="320">
        <v>1</v>
      </c>
      <c r="R11" s="320">
        <v>1</v>
      </c>
      <c r="S11" s="320">
        <v>1</v>
      </c>
      <c r="T11" s="320">
        <v>1</v>
      </c>
      <c r="U11" s="320">
        <v>1</v>
      </c>
      <c r="V11" s="320">
        <v>1</v>
      </c>
      <c r="W11" s="321">
        <v>1</v>
      </c>
      <c r="X11" s="320">
        <v>1</v>
      </c>
      <c r="Y11" s="282"/>
      <c r="Z11" s="160">
        <f t="shared" si="2"/>
        <v>17</v>
      </c>
      <c r="AA11" s="5">
        <f t="shared" si="3"/>
        <v>595</v>
      </c>
    </row>
    <row r="12" spans="1:28">
      <c r="A12" s="428">
        <v>4</v>
      </c>
      <c r="B12" s="108" t="s">
        <v>676</v>
      </c>
      <c r="C12" s="111" t="s">
        <v>26</v>
      </c>
      <c r="D12" s="161"/>
      <c r="E12" s="161"/>
      <c r="F12" s="121"/>
      <c r="G12" s="320">
        <v>1</v>
      </c>
      <c r="H12" s="282"/>
      <c r="I12" s="282"/>
      <c r="J12" s="282"/>
      <c r="K12" s="282"/>
      <c r="L12" s="282"/>
      <c r="M12" s="282"/>
      <c r="N12" s="320">
        <v>1</v>
      </c>
      <c r="O12" s="282"/>
      <c r="P12" s="282"/>
      <c r="Q12" s="282"/>
      <c r="R12" s="282"/>
      <c r="S12" s="282"/>
      <c r="T12" s="282"/>
      <c r="U12" s="282"/>
      <c r="V12" s="320">
        <v>1</v>
      </c>
      <c r="W12" s="283"/>
      <c r="X12" s="282"/>
      <c r="Y12" s="282"/>
      <c r="Z12" s="160">
        <f t="shared" si="2"/>
        <v>3</v>
      </c>
      <c r="AA12" s="5">
        <f t="shared" si="3"/>
        <v>105</v>
      </c>
    </row>
    <row r="13" spans="1:28">
      <c r="A13" s="108">
        <v>5</v>
      </c>
      <c r="B13" s="108" t="s">
        <v>658</v>
      </c>
      <c r="C13" s="111" t="s">
        <v>26</v>
      </c>
      <c r="D13" s="161"/>
      <c r="E13" s="161"/>
      <c r="F13" s="417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320">
        <v>1</v>
      </c>
      <c r="R13" s="282"/>
      <c r="S13" s="282"/>
      <c r="T13" s="282"/>
      <c r="U13" s="282"/>
      <c r="V13" s="282"/>
      <c r="W13" s="283"/>
      <c r="X13" s="282"/>
      <c r="Y13" s="282"/>
      <c r="Z13" s="160">
        <f t="shared" si="2"/>
        <v>1</v>
      </c>
      <c r="AA13" s="5">
        <f t="shared" si="3"/>
        <v>35</v>
      </c>
    </row>
    <row r="14" spans="1:28">
      <c r="A14" s="428">
        <v>6</v>
      </c>
      <c r="B14" s="103" t="s">
        <v>321</v>
      </c>
      <c r="C14" s="112" t="s">
        <v>26</v>
      </c>
      <c r="D14" s="156"/>
      <c r="E14" s="156"/>
      <c r="F14" s="157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5"/>
      <c r="X14" s="282"/>
      <c r="Y14" s="282"/>
      <c r="Z14" s="160">
        <f t="shared" si="2"/>
        <v>0</v>
      </c>
      <c r="AA14" s="5">
        <f t="shared" si="3"/>
        <v>0</v>
      </c>
    </row>
    <row r="15" spans="1:28">
      <c r="A15" s="108">
        <v>7</v>
      </c>
      <c r="B15" s="103" t="s">
        <v>710</v>
      </c>
      <c r="C15" s="112" t="s">
        <v>26</v>
      </c>
      <c r="D15" s="156"/>
      <c r="E15" s="156"/>
      <c r="F15" s="157"/>
      <c r="G15" s="284"/>
      <c r="H15" s="284"/>
      <c r="I15" s="284"/>
      <c r="J15" s="387">
        <v>1</v>
      </c>
      <c r="K15" s="387">
        <v>1</v>
      </c>
      <c r="L15" s="387">
        <v>1</v>
      </c>
      <c r="M15" s="387">
        <v>1</v>
      </c>
      <c r="N15" s="387">
        <v>1</v>
      </c>
      <c r="O15" s="387">
        <v>1</v>
      </c>
      <c r="P15" s="387">
        <v>1</v>
      </c>
      <c r="Q15" s="387">
        <v>1</v>
      </c>
      <c r="R15" s="387">
        <v>1</v>
      </c>
      <c r="S15" s="387">
        <v>1</v>
      </c>
      <c r="T15" s="387">
        <v>1</v>
      </c>
      <c r="U15" s="387">
        <v>1</v>
      </c>
      <c r="V15" s="387">
        <v>1</v>
      </c>
      <c r="W15" s="424">
        <v>1</v>
      </c>
      <c r="X15" s="320">
        <v>1</v>
      </c>
      <c r="Y15" s="282"/>
      <c r="Z15" s="160">
        <f t="shared" si="2"/>
        <v>15</v>
      </c>
      <c r="AA15" s="5">
        <f t="shared" si="3"/>
        <v>525</v>
      </c>
    </row>
    <row r="16" spans="1:28">
      <c r="A16" s="428">
        <v>8</v>
      </c>
      <c r="B16" s="103" t="s">
        <v>689</v>
      </c>
      <c r="C16" s="112" t="s">
        <v>26</v>
      </c>
      <c r="D16" s="156"/>
      <c r="E16" s="156"/>
      <c r="F16" s="157"/>
      <c r="G16" s="284"/>
      <c r="H16" s="387">
        <v>1</v>
      </c>
      <c r="I16" s="284"/>
      <c r="J16" s="387">
        <v>1</v>
      </c>
      <c r="K16" s="284"/>
      <c r="L16" s="387">
        <v>1</v>
      </c>
      <c r="M16" s="284"/>
      <c r="N16" s="284"/>
      <c r="O16" s="387">
        <v>1</v>
      </c>
      <c r="P16" s="284"/>
      <c r="Q16" s="284"/>
      <c r="R16" s="387">
        <v>1</v>
      </c>
      <c r="S16" s="284"/>
      <c r="T16" s="284"/>
      <c r="U16" s="284"/>
      <c r="V16" s="284"/>
      <c r="W16" s="285"/>
      <c r="X16" s="282"/>
      <c r="Y16" s="282"/>
      <c r="Z16" s="160">
        <f t="shared" si="2"/>
        <v>5</v>
      </c>
      <c r="AA16" s="5">
        <f t="shared" si="3"/>
        <v>175</v>
      </c>
    </row>
    <row r="17" spans="1:47">
      <c r="A17" s="108">
        <v>9</v>
      </c>
      <c r="B17" s="56" t="s">
        <v>581</v>
      </c>
      <c r="C17" s="57" t="s">
        <v>5</v>
      </c>
      <c r="D17" s="67"/>
      <c r="E17" s="67"/>
      <c r="F17" s="101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314">
        <v>1</v>
      </c>
      <c r="U17" s="262"/>
      <c r="V17" s="262"/>
      <c r="W17" s="286"/>
      <c r="X17" s="282"/>
      <c r="Y17" s="282"/>
      <c r="Z17" s="160">
        <f t="shared" si="2"/>
        <v>1</v>
      </c>
      <c r="AA17" s="5">
        <f t="shared" si="3"/>
        <v>35</v>
      </c>
    </row>
    <row r="18" spans="1:47">
      <c r="A18" s="428">
        <v>10</v>
      </c>
      <c r="B18" s="56" t="s">
        <v>571</v>
      </c>
      <c r="C18" s="57" t="s">
        <v>26</v>
      </c>
      <c r="D18" s="67"/>
      <c r="E18" s="67"/>
      <c r="F18" s="101"/>
      <c r="G18" s="314">
        <v>1</v>
      </c>
      <c r="H18" s="262"/>
      <c r="I18" s="262"/>
      <c r="J18" s="314">
        <v>1</v>
      </c>
      <c r="K18" s="262"/>
      <c r="L18" s="262"/>
      <c r="M18" s="262"/>
      <c r="N18" s="314">
        <v>1</v>
      </c>
      <c r="O18" s="314">
        <v>1</v>
      </c>
      <c r="P18" s="262"/>
      <c r="Q18" s="262"/>
      <c r="R18" s="262"/>
      <c r="S18" s="262"/>
      <c r="T18" s="262"/>
      <c r="U18" s="262"/>
      <c r="V18" s="262"/>
      <c r="W18" s="286"/>
      <c r="X18" s="282"/>
      <c r="Y18" s="282"/>
      <c r="Z18" s="160">
        <f t="shared" si="2"/>
        <v>4</v>
      </c>
      <c r="AA18" s="5">
        <f t="shared" si="3"/>
        <v>140</v>
      </c>
    </row>
    <row r="19" spans="1:47">
      <c r="A19" s="108">
        <v>11</v>
      </c>
      <c r="B19" s="56" t="s">
        <v>598</v>
      </c>
      <c r="C19" s="57" t="s">
        <v>26</v>
      </c>
      <c r="D19" s="67"/>
      <c r="E19" s="67"/>
      <c r="F19" s="244" t="s">
        <v>642</v>
      </c>
      <c r="G19" s="314">
        <v>1</v>
      </c>
      <c r="H19" s="262"/>
      <c r="I19" s="262"/>
      <c r="J19" s="262"/>
      <c r="K19" s="314">
        <v>1</v>
      </c>
      <c r="L19" s="262"/>
      <c r="M19" s="262"/>
      <c r="N19" s="262"/>
      <c r="O19" s="262"/>
      <c r="P19" s="314">
        <v>1</v>
      </c>
      <c r="Q19" s="314">
        <v>1</v>
      </c>
      <c r="R19" s="262"/>
      <c r="S19" s="262"/>
      <c r="T19" s="262"/>
      <c r="U19" s="262"/>
      <c r="V19" s="262"/>
      <c r="W19" s="286"/>
      <c r="X19" s="282"/>
      <c r="Y19" s="282"/>
      <c r="Z19" s="160">
        <f t="shared" si="2"/>
        <v>4</v>
      </c>
      <c r="AA19" s="5">
        <f t="shared" si="3"/>
        <v>140</v>
      </c>
    </row>
    <row r="20" spans="1:47">
      <c r="A20" s="428">
        <v>12</v>
      </c>
      <c r="B20" s="56" t="s">
        <v>544</v>
      </c>
      <c r="C20" s="57" t="s">
        <v>26</v>
      </c>
      <c r="D20" s="67"/>
      <c r="E20" s="67"/>
      <c r="F20" s="101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316">
        <v>1</v>
      </c>
      <c r="U20" s="262"/>
      <c r="V20" s="262"/>
      <c r="W20" s="286"/>
      <c r="X20" s="282"/>
      <c r="Y20" s="282"/>
      <c r="Z20" s="160">
        <f t="shared" si="2"/>
        <v>1</v>
      </c>
      <c r="AA20" s="5">
        <f t="shared" si="3"/>
        <v>35</v>
      </c>
    </row>
    <row r="21" spans="1:47">
      <c r="A21" s="108">
        <v>13</v>
      </c>
      <c r="B21" s="56" t="s">
        <v>521</v>
      </c>
      <c r="C21" s="57" t="s">
        <v>26</v>
      </c>
      <c r="D21" s="67"/>
      <c r="E21" s="69"/>
      <c r="F21" s="147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86"/>
      <c r="X21" s="282"/>
      <c r="Y21" s="282"/>
      <c r="Z21" s="160">
        <f t="shared" si="2"/>
        <v>0</v>
      </c>
      <c r="AA21" s="5">
        <f t="shared" si="3"/>
        <v>0</v>
      </c>
    </row>
    <row r="22" spans="1:47" s="405" customFormat="1">
      <c r="A22" s="428">
        <v>14</v>
      </c>
      <c r="B22" s="56" t="s">
        <v>788</v>
      </c>
      <c r="C22" s="57" t="s">
        <v>5</v>
      </c>
      <c r="D22" s="67"/>
      <c r="E22" s="69"/>
      <c r="F22" s="147"/>
      <c r="G22" s="262"/>
      <c r="H22" s="262"/>
      <c r="I22" s="262"/>
      <c r="J22" s="262"/>
      <c r="K22" s="262"/>
      <c r="L22" s="262"/>
      <c r="M22" s="262"/>
      <c r="N22" s="262"/>
      <c r="O22" s="314">
        <v>1</v>
      </c>
      <c r="P22" s="262"/>
      <c r="Q22" s="262"/>
      <c r="R22" s="262"/>
      <c r="S22" s="262"/>
      <c r="T22" s="262"/>
      <c r="U22" s="262"/>
      <c r="V22" s="286"/>
      <c r="W22" s="286"/>
      <c r="X22" s="409"/>
      <c r="Y22" s="282"/>
      <c r="Z22" s="160"/>
      <c r="AA22" s="5"/>
    </row>
    <row r="23" spans="1:47">
      <c r="A23" s="108">
        <v>15</v>
      </c>
      <c r="B23" s="56" t="s">
        <v>686</v>
      </c>
      <c r="C23" s="57" t="s">
        <v>5</v>
      </c>
      <c r="D23" s="67"/>
      <c r="E23" s="69"/>
      <c r="F23" s="147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86"/>
      <c r="W23" s="286"/>
      <c r="X23" s="286"/>
      <c r="Y23" s="282"/>
      <c r="Z23" s="160">
        <f t="shared" si="2"/>
        <v>0</v>
      </c>
      <c r="AA23" s="5">
        <f t="shared" si="3"/>
        <v>0</v>
      </c>
    </row>
    <row r="24" spans="1:47">
      <c r="A24" s="428">
        <v>16</v>
      </c>
      <c r="B24" s="56" t="s">
        <v>85</v>
      </c>
      <c r="C24" s="57" t="s">
        <v>83</v>
      </c>
      <c r="D24" s="69"/>
      <c r="E24" s="69"/>
      <c r="F24" s="248"/>
      <c r="G24" s="314">
        <v>1</v>
      </c>
      <c r="H24" s="314">
        <v>1</v>
      </c>
      <c r="I24" s="48"/>
      <c r="J24" s="314">
        <v>1</v>
      </c>
      <c r="K24" s="314">
        <v>1</v>
      </c>
      <c r="L24" s="314">
        <v>1</v>
      </c>
      <c r="M24" s="314">
        <v>1</v>
      </c>
      <c r="N24" s="314">
        <v>1</v>
      </c>
      <c r="O24" s="314">
        <v>1</v>
      </c>
      <c r="P24" s="314">
        <v>1</v>
      </c>
      <c r="Q24" s="314">
        <v>1</v>
      </c>
      <c r="R24" s="314">
        <v>1</v>
      </c>
      <c r="S24" s="314">
        <v>1</v>
      </c>
      <c r="T24" s="314">
        <v>1</v>
      </c>
      <c r="U24" s="314">
        <v>1</v>
      </c>
      <c r="V24" s="326">
        <v>1</v>
      </c>
      <c r="W24" s="326">
        <v>1</v>
      </c>
      <c r="X24" s="326">
        <v>1</v>
      </c>
      <c r="Y24" s="322"/>
      <c r="Z24" s="160">
        <f t="shared" si="2"/>
        <v>17</v>
      </c>
      <c r="AA24" s="5">
        <f t="shared" si="3"/>
        <v>595</v>
      </c>
    </row>
    <row r="25" spans="1:47" ht="15.75" customHeight="1">
      <c r="A25" s="108">
        <v>17</v>
      </c>
      <c r="B25" s="49" t="s">
        <v>145</v>
      </c>
      <c r="C25" s="58" t="s">
        <v>83</v>
      </c>
      <c r="D25" s="67"/>
      <c r="E25" s="67"/>
      <c r="F25" s="101"/>
      <c r="G25" s="314">
        <v>1</v>
      </c>
      <c r="H25" s="262"/>
      <c r="I25" s="262"/>
      <c r="J25" s="314">
        <v>1</v>
      </c>
      <c r="K25" s="262"/>
      <c r="L25" s="314">
        <v>1</v>
      </c>
      <c r="M25" s="262"/>
      <c r="N25" s="314">
        <v>1</v>
      </c>
      <c r="O25" s="314">
        <v>1</v>
      </c>
      <c r="P25" s="262"/>
      <c r="Q25" s="262"/>
      <c r="R25" s="262"/>
      <c r="S25" s="262"/>
      <c r="T25" s="262"/>
      <c r="U25" s="262"/>
      <c r="V25" s="262"/>
      <c r="W25" s="262"/>
      <c r="X25" s="323">
        <v>1</v>
      </c>
      <c r="Y25" s="288"/>
      <c r="Z25" s="160">
        <f t="shared" si="2"/>
        <v>6</v>
      </c>
      <c r="AA25" s="5">
        <f t="shared" si="3"/>
        <v>210</v>
      </c>
    </row>
    <row r="26" spans="1:47" ht="15.75" customHeight="1">
      <c r="A26" s="428">
        <v>18</v>
      </c>
      <c r="B26" s="108" t="s">
        <v>514</v>
      </c>
      <c r="C26" s="111" t="s">
        <v>5</v>
      </c>
      <c r="D26" s="133"/>
      <c r="E26" s="133"/>
      <c r="F26" s="123"/>
      <c r="G26" s="262"/>
      <c r="H26" s="314">
        <v>1</v>
      </c>
      <c r="I26" s="262"/>
      <c r="J26" s="262"/>
      <c r="K26" s="262"/>
      <c r="L26" s="314">
        <v>1</v>
      </c>
      <c r="M26" s="314">
        <v>1</v>
      </c>
      <c r="N26" s="262"/>
      <c r="O26" s="314">
        <v>1</v>
      </c>
      <c r="P26" s="262"/>
      <c r="Q26" s="262"/>
      <c r="R26" s="314">
        <v>1</v>
      </c>
      <c r="S26" s="262"/>
      <c r="T26" s="316">
        <v>1</v>
      </c>
      <c r="U26" s="262"/>
      <c r="V26" s="262"/>
      <c r="W26" s="262"/>
      <c r="X26" s="288"/>
      <c r="Y26" s="288"/>
      <c r="Z26" s="160">
        <f t="shared" si="2"/>
        <v>6</v>
      </c>
      <c r="AA26" s="5">
        <f t="shared" si="3"/>
        <v>210</v>
      </c>
      <c r="AB26" s="12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</row>
    <row r="27" spans="1:47" ht="15.75" customHeight="1">
      <c r="A27" s="108">
        <v>19</v>
      </c>
      <c r="B27" s="108" t="s">
        <v>482</v>
      </c>
      <c r="C27" s="111" t="s">
        <v>5</v>
      </c>
      <c r="D27" s="145"/>
      <c r="E27" s="146"/>
      <c r="F27" s="251" t="s">
        <v>461</v>
      </c>
      <c r="G27" s="314">
        <v>1</v>
      </c>
      <c r="H27" s="314">
        <v>1</v>
      </c>
      <c r="I27" s="48"/>
      <c r="J27" s="314">
        <v>1</v>
      </c>
      <c r="K27" s="314">
        <v>1</v>
      </c>
      <c r="L27" s="314">
        <v>1</v>
      </c>
      <c r="M27" s="314">
        <v>1</v>
      </c>
      <c r="N27" s="314">
        <v>1</v>
      </c>
      <c r="O27" s="314">
        <v>1</v>
      </c>
      <c r="P27" s="314">
        <v>1</v>
      </c>
      <c r="Q27" s="314">
        <v>1</v>
      </c>
      <c r="R27" s="314">
        <v>1</v>
      </c>
      <c r="S27" s="314">
        <v>1</v>
      </c>
      <c r="T27" s="314">
        <v>1</v>
      </c>
      <c r="U27" s="314">
        <v>1</v>
      </c>
      <c r="V27" s="314">
        <v>1</v>
      </c>
      <c r="W27" s="314">
        <v>1</v>
      </c>
      <c r="X27" s="315">
        <v>1</v>
      </c>
      <c r="Y27" s="315"/>
      <c r="Z27" s="160">
        <f t="shared" si="2"/>
        <v>17</v>
      </c>
      <c r="AA27" s="5">
        <f t="shared" si="3"/>
        <v>595</v>
      </c>
      <c r="AB27" s="12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</row>
    <row r="28" spans="1:47" ht="15.75" customHeight="1">
      <c r="A28" s="428">
        <v>20</v>
      </c>
      <c r="B28" s="51" t="s">
        <v>269</v>
      </c>
      <c r="C28" s="60" t="s">
        <v>5</v>
      </c>
      <c r="D28" s="79"/>
      <c r="E28" s="79"/>
      <c r="F28" s="9"/>
      <c r="G28" s="314">
        <v>1</v>
      </c>
      <c r="H28" s="262"/>
      <c r="I28" s="262"/>
      <c r="J28" s="314">
        <v>1</v>
      </c>
      <c r="K28" s="262"/>
      <c r="L28" s="262"/>
      <c r="M28" s="314">
        <v>1</v>
      </c>
      <c r="N28" s="262"/>
      <c r="O28" s="262"/>
      <c r="P28" s="262"/>
      <c r="Q28" s="262"/>
      <c r="R28" s="262"/>
      <c r="S28" s="316">
        <v>1</v>
      </c>
      <c r="T28" s="262"/>
      <c r="U28" s="262"/>
      <c r="V28" s="262"/>
      <c r="W28" s="262"/>
      <c r="X28" s="288"/>
      <c r="Y28" s="288"/>
      <c r="Z28" s="160">
        <f t="shared" si="2"/>
        <v>4</v>
      </c>
      <c r="AA28" s="5">
        <f t="shared" si="3"/>
        <v>140</v>
      </c>
    </row>
    <row r="29" spans="1:47" ht="15.75" customHeight="1">
      <c r="A29" s="108">
        <v>21</v>
      </c>
      <c r="B29" s="49" t="s">
        <v>408</v>
      </c>
      <c r="C29" s="58" t="s">
        <v>26</v>
      </c>
      <c r="D29" s="67"/>
      <c r="E29" s="69"/>
      <c r="F29" s="57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88"/>
      <c r="Y29" s="288"/>
      <c r="Z29" s="160">
        <f t="shared" si="2"/>
        <v>0</v>
      </c>
      <c r="AA29" s="5">
        <f t="shared" si="3"/>
        <v>0</v>
      </c>
    </row>
    <row r="30" spans="1:47" ht="15.75" customHeight="1">
      <c r="A30" s="428">
        <v>22</v>
      </c>
      <c r="B30" s="49" t="s">
        <v>638</v>
      </c>
      <c r="C30" s="58" t="s">
        <v>610</v>
      </c>
      <c r="D30" s="67"/>
      <c r="E30" s="69"/>
      <c r="F30" s="57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88"/>
      <c r="Y30" s="288"/>
      <c r="Z30" s="160">
        <f t="shared" si="2"/>
        <v>0</v>
      </c>
      <c r="AA30" s="5">
        <f t="shared" si="3"/>
        <v>0</v>
      </c>
    </row>
    <row r="31" spans="1:47" ht="15.75" customHeight="1">
      <c r="A31" s="108">
        <v>23</v>
      </c>
      <c r="B31" s="56" t="s">
        <v>57</v>
      </c>
      <c r="C31" s="57" t="s">
        <v>26</v>
      </c>
      <c r="D31" s="68"/>
      <c r="E31" s="68"/>
      <c r="F31" s="48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88"/>
      <c r="Y31" s="288"/>
      <c r="Z31" s="160">
        <f t="shared" si="2"/>
        <v>0</v>
      </c>
      <c r="AA31" s="5">
        <f t="shared" si="3"/>
        <v>0</v>
      </c>
    </row>
    <row r="32" spans="1:47" ht="15.75" customHeight="1">
      <c r="A32" s="428">
        <v>24</v>
      </c>
      <c r="B32" s="56" t="s">
        <v>258</v>
      </c>
      <c r="C32" s="57" t="s">
        <v>83</v>
      </c>
      <c r="D32" s="67"/>
      <c r="E32" s="67"/>
      <c r="F32" s="101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88"/>
      <c r="Y32" s="288"/>
      <c r="Z32" s="160">
        <f t="shared" si="2"/>
        <v>0</v>
      </c>
      <c r="AA32" s="5">
        <f t="shared" si="3"/>
        <v>0</v>
      </c>
    </row>
    <row r="33" spans="1:47" ht="15.75" customHeight="1">
      <c r="A33" s="108">
        <v>25</v>
      </c>
      <c r="B33" s="56" t="s">
        <v>594</v>
      </c>
      <c r="C33" s="57" t="s">
        <v>26</v>
      </c>
      <c r="D33" s="67"/>
      <c r="E33" s="67"/>
      <c r="F33" s="191" t="s">
        <v>774</v>
      </c>
      <c r="G33" s="316">
        <v>1</v>
      </c>
      <c r="H33" s="316">
        <v>1</v>
      </c>
      <c r="I33" s="48"/>
      <c r="J33" s="316">
        <v>0</v>
      </c>
      <c r="K33" s="316">
        <v>0</v>
      </c>
      <c r="L33" s="316">
        <v>1</v>
      </c>
      <c r="M33" s="316">
        <v>0</v>
      </c>
      <c r="N33" s="316">
        <v>0</v>
      </c>
      <c r="O33" s="316">
        <v>0</v>
      </c>
      <c r="P33" s="316">
        <v>1</v>
      </c>
      <c r="Q33" s="316">
        <v>0</v>
      </c>
      <c r="R33" s="316">
        <v>1</v>
      </c>
      <c r="S33" s="316">
        <v>1</v>
      </c>
      <c r="T33" s="316">
        <v>1</v>
      </c>
      <c r="U33" s="316">
        <v>1</v>
      </c>
      <c r="V33" s="316">
        <v>1</v>
      </c>
      <c r="W33" s="316">
        <v>0</v>
      </c>
      <c r="X33" s="323">
        <v>1</v>
      </c>
      <c r="Y33" s="323"/>
      <c r="Z33" s="160">
        <f t="shared" si="2"/>
        <v>10</v>
      </c>
      <c r="AA33" s="5">
        <f t="shared" si="3"/>
        <v>350</v>
      </c>
    </row>
    <row r="34" spans="1:47" ht="15.75" customHeight="1">
      <c r="A34" s="428">
        <v>26</v>
      </c>
      <c r="B34" s="56" t="s">
        <v>129</v>
      </c>
      <c r="C34" s="57" t="s">
        <v>26</v>
      </c>
      <c r="D34" s="181"/>
      <c r="E34" s="181"/>
      <c r="F34" s="101"/>
      <c r="G34" s="314">
        <v>1</v>
      </c>
      <c r="H34" s="262"/>
      <c r="I34" s="262"/>
      <c r="J34" s="262"/>
      <c r="K34" s="314">
        <v>1</v>
      </c>
      <c r="L34" s="262"/>
      <c r="M34" s="314">
        <v>1</v>
      </c>
      <c r="N34" s="48"/>
      <c r="O34" s="314">
        <v>1</v>
      </c>
      <c r="P34" s="262"/>
      <c r="Q34" s="262"/>
      <c r="R34" s="262"/>
      <c r="S34" s="262"/>
      <c r="T34" s="314">
        <v>1</v>
      </c>
      <c r="U34" s="262"/>
      <c r="V34" s="262"/>
      <c r="W34" s="262"/>
      <c r="X34" s="288"/>
      <c r="Y34" s="315"/>
      <c r="Z34" s="160">
        <f t="shared" si="2"/>
        <v>5</v>
      </c>
      <c r="AA34" s="5">
        <f t="shared" si="3"/>
        <v>175</v>
      </c>
    </row>
    <row r="35" spans="1:47" ht="15.75" customHeight="1">
      <c r="A35" s="108">
        <v>27</v>
      </c>
      <c r="B35" s="56" t="s">
        <v>621</v>
      </c>
      <c r="C35" s="149" t="s">
        <v>26</v>
      </c>
      <c r="D35" s="161"/>
      <c r="E35" s="161"/>
      <c r="F35" s="143" t="s">
        <v>775</v>
      </c>
      <c r="G35" s="316">
        <v>1</v>
      </c>
      <c r="H35" s="316">
        <v>1</v>
      </c>
      <c r="I35" s="48"/>
      <c r="J35" s="316">
        <v>1</v>
      </c>
      <c r="K35" s="316">
        <v>1</v>
      </c>
      <c r="L35" s="316">
        <v>1</v>
      </c>
      <c r="M35" s="316">
        <v>1</v>
      </c>
      <c r="N35" s="316">
        <v>1</v>
      </c>
      <c r="O35" s="316">
        <v>1</v>
      </c>
      <c r="P35" s="316">
        <v>1</v>
      </c>
      <c r="Q35" s="316">
        <v>1</v>
      </c>
      <c r="R35" s="316">
        <v>1</v>
      </c>
      <c r="S35" s="316">
        <v>1</v>
      </c>
      <c r="T35" s="316">
        <v>1</v>
      </c>
      <c r="U35" s="316">
        <v>1</v>
      </c>
      <c r="V35" s="316">
        <v>1</v>
      </c>
      <c r="W35" s="316">
        <v>1</v>
      </c>
      <c r="X35" s="323">
        <v>1</v>
      </c>
      <c r="Y35" s="323"/>
      <c r="Z35" s="160">
        <f t="shared" si="2"/>
        <v>17</v>
      </c>
      <c r="AA35" s="5">
        <f t="shared" si="3"/>
        <v>595</v>
      </c>
    </row>
    <row r="36" spans="1:47">
      <c r="A36" s="428">
        <v>28</v>
      </c>
      <c r="B36" s="51" t="s">
        <v>200</v>
      </c>
      <c r="C36" s="212" t="s">
        <v>5</v>
      </c>
      <c r="D36" s="152"/>
      <c r="E36" s="152"/>
      <c r="F36" s="213"/>
      <c r="G36" s="316">
        <v>1</v>
      </c>
      <c r="H36" s="316">
        <v>1</v>
      </c>
      <c r="I36" s="48"/>
      <c r="J36" s="316">
        <v>1</v>
      </c>
      <c r="K36" s="316">
        <v>1</v>
      </c>
      <c r="L36" s="48"/>
      <c r="M36" s="316">
        <v>1</v>
      </c>
      <c r="N36" s="48"/>
      <c r="O36" s="316">
        <v>1</v>
      </c>
      <c r="P36" s="316">
        <v>1</v>
      </c>
      <c r="Q36" s="316">
        <v>1</v>
      </c>
      <c r="R36" s="262"/>
      <c r="S36" s="262"/>
      <c r="T36" s="316">
        <v>1</v>
      </c>
      <c r="U36" s="316">
        <v>1</v>
      </c>
      <c r="V36" s="316">
        <v>1</v>
      </c>
      <c r="W36" s="316">
        <v>1</v>
      </c>
      <c r="X36" s="323">
        <v>1</v>
      </c>
      <c r="Y36" s="288"/>
      <c r="Z36" s="160">
        <f t="shared" si="2"/>
        <v>13</v>
      </c>
      <c r="AA36" s="5">
        <f t="shared" si="3"/>
        <v>455</v>
      </c>
      <c r="AB36" s="12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spans="1:47">
      <c r="A37" s="108">
        <v>29</v>
      </c>
      <c r="B37" s="51" t="s">
        <v>647</v>
      </c>
      <c r="C37" s="212" t="s">
        <v>5</v>
      </c>
      <c r="D37" s="152"/>
      <c r="E37" s="152"/>
      <c r="F37" s="95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88"/>
      <c r="Y37" s="288"/>
      <c r="Z37" s="160">
        <f t="shared" si="2"/>
        <v>0</v>
      </c>
      <c r="AA37" s="5">
        <f t="shared" si="3"/>
        <v>0</v>
      </c>
      <c r="AB37" s="12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</row>
    <row r="38" spans="1:47">
      <c r="A38" s="428">
        <v>30</v>
      </c>
      <c r="B38" s="51" t="s">
        <v>430</v>
      </c>
      <c r="C38" s="212" t="s">
        <v>5</v>
      </c>
      <c r="D38" s="152"/>
      <c r="E38" s="152"/>
      <c r="F38" s="376" t="s">
        <v>642</v>
      </c>
      <c r="G38" s="314">
        <v>1</v>
      </c>
      <c r="H38" s="314">
        <v>1</v>
      </c>
      <c r="I38" s="314"/>
      <c r="J38" s="314">
        <v>1</v>
      </c>
      <c r="K38" s="314">
        <v>1</v>
      </c>
      <c r="L38" s="314">
        <v>1</v>
      </c>
      <c r="M38" s="314">
        <v>1</v>
      </c>
      <c r="N38" s="314">
        <v>1</v>
      </c>
      <c r="O38" s="314">
        <v>1</v>
      </c>
      <c r="P38" s="314">
        <v>1</v>
      </c>
      <c r="Q38" s="314">
        <v>1</v>
      </c>
      <c r="R38" s="314">
        <v>1</v>
      </c>
      <c r="S38" s="314">
        <v>1</v>
      </c>
      <c r="T38" s="314">
        <v>1</v>
      </c>
      <c r="U38" s="314">
        <v>1</v>
      </c>
      <c r="V38" s="314">
        <v>1</v>
      </c>
      <c r="W38" s="314">
        <v>1</v>
      </c>
      <c r="X38" s="315">
        <v>1</v>
      </c>
      <c r="Y38" s="315"/>
      <c r="Z38" s="160">
        <f t="shared" si="2"/>
        <v>17</v>
      </c>
      <c r="AA38" s="5">
        <f t="shared" si="3"/>
        <v>595</v>
      </c>
      <c r="AB38" s="12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</row>
    <row r="39" spans="1:47" ht="15.75" customHeight="1">
      <c r="A39" s="108">
        <v>31</v>
      </c>
      <c r="B39" s="51" t="s">
        <v>431</v>
      </c>
      <c r="C39" s="52" t="s">
        <v>5</v>
      </c>
      <c r="D39" s="214"/>
      <c r="E39" s="215"/>
      <c r="F39" s="169" t="s">
        <v>461</v>
      </c>
      <c r="G39" s="314">
        <v>1</v>
      </c>
      <c r="H39" s="314">
        <v>1</v>
      </c>
      <c r="I39" s="48"/>
      <c r="J39" s="314">
        <v>1</v>
      </c>
      <c r="K39" s="314">
        <v>1</v>
      </c>
      <c r="L39" s="314">
        <v>1</v>
      </c>
      <c r="M39" s="314">
        <v>1</v>
      </c>
      <c r="N39" s="314">
        <v>1</v>
      </c>
      <c r="O39" s="314">
        <v>1</v>
      </c>
      <c r="P39" s="314">
        <v>1</v>
      </c>
      <c r="Q39" s="48"/>
      <c r="R39" s="48"/>
      <c r="S39" s="48"/>
      <c r="T39" s="48"/>
      <c r="U39" s="316">
        <v>1</v>
      </c>
      <c r="V39" s="316">
        <v>1</v>
      </c>
      <c r="W39" s="316">
        <v>1</v>
      </c>
      <c r="X39" s="323">
        <v>1</v>
      </c>
      <c r="Y39" s="323"/>
      <c r="Z39" s="160">
        <f t="shared" si="2"/>
        <v>13</v>
      </c>
      <c r="AA39" s="5">
        <f t="shared" si="3"/>
        <v>455</v>
      </c>
    </row>
    <row r="40" spans="1:47" ht="15.75" customHeight="1">
      <c r="A40" s="428">
        <v>32</v>
      </c>
      <c r="B40" s="56" t="s">
        <v>409</v>
      </c>
      <c r="C40" s="57" t="s">
        <v>83</v>
      </c>
      <c r="D40" s="71"/>
      <c r="E40" s="71"/>
      <c r="F40" s="60"/>
      <c r="G40" s="276"/>
      <c r="H40" s="276"/>
      <c r="I40" s="276"/>
      <c r="J40" s="276"/>
      <c r="K40" s="276"/>
      <c r="L40" s="275"/>
      <c r="M40" s="275"/>
      <c r="N40" s="276"/>
      <c r="O40" s="275"/>
      <c r="P40" s="275"/>
      <c r="Q40" s="275"/>
      <c r="R40" s="275"/>
      <c r="S40" s="275"/>
      <c r="T40" s="275"/>
      <c r="U40" s="275"/>
      <c r="V40" s="276"/>
      <c r="W40" s="276"/>
      <c r="X40" s="289"/>
      <c r="Y40" s="289"/>
      <c r="Z40" s="160">
        <f t="shared" si="2"/>
        <v>0</v>
      </c>
      <c r="AA40" s="5">
        <f t="shared" si="3"/>
        <v>0</v>
      </c>
    </row>
    <row r="41" spans="1:47" ht="15.75" customHeight="1">
      <c r="A41" s="108">
        <v>33</v>
      </c>
      <c r="B41" s="51" t="s">
        <v>513</v>
      </c>
      <c r="C41" s="60" t="s">
        <v>26</v>
      </c>
      <c r="D41" s="68"/>
      <c r="E41" s="68"/>
      <c r="F41" s="132"/>
      <c r="G41" s="314">
        <v>1</v>
      </c>
      <c r="H41" s="314">
        <v>1</v>
      </c>
      <c r="I41" s="262"/>
      <c r="J41" s="314">
        <v>1</v>
      </c>
      <c r="K41" s="314">
        <v>1</v>
      </c>
      <c r="L41" s="314">
        <v>1</v>
      </c>
      <c r="M41" s="314">
        <v>1</v>
      </c>
      <c r="N41" s="314">
        <v>1</v>
      </c>
      <c r="O41" s="314">
        <v>1</v>
      </c>
      <c r="P41" s="314">
        <v>1</v>
      </c>
      <c r="Q41" s="314">
        <v>1</v>
      </c>
      <c r="R41" s="314">
        <v>1</v>
      </c>
      <c r="S41" s="314">
        <v>1</v>
      </c>
      <c r="T41" s="314">
        <v>1</v>
      </c>
      <c r="U41" s="314">
        <v>1</v>
      </c>
      <c r="V41" s="314">
        <v>1</v>
      </c>
      <c r="W41" s="314">
        <v>1</v>
      </c>
      <c r="X41" s="315">
        <v>1</v>
      </c>
      <c r="Y41" s="288"/>
      <c r="Z41" s="160">
        <f t="shared" si="2"/>
        <v>17</v>
      </c>
      <c r="AA41" s="5">
        <f t="shared" si="3"/>
        <v>595</v>
      </c>
    </row>
    <row r="42" spans="1:47" ht="15.75" customHeight="1">
      <c r="A42" s="428">
        <v>34</v>
      </c>
      <c r="B42" s="51" t="s">
        <v>549</v>
      </c>
      <c r="C42" s="60" t="s">
        <v>550</v>
      </c>
      <c r="D42" s="68"/>
      <c r="E42" s="68"/>
      <c r="F42" s="132"/>
      <c r="G42" s="314">
        <v>1</v>
      </c>
      <c r="H42" s="314">
        <v>1</v>
      </c>
      <c r="I42" s="48"/>
      <c r="J42" s="314">
        <v>1</v>
      </c>
      <c r="K42" s="314">
        <v>1</v>
      </c>
      <c r="L42" s="314">
        <v>1</v>
      </c>
      <c r="M42" s="314">
        <v>1</v>
      </c>
      <c r="N42" s="314">
        <v>1</v>
      </c>
      <c r="O42" s="262"/>
      <c r="P42" s="262"/>
      <c r="Q42" s="262"/>
      <c r="R42" s="262"/>
      <c r="S42" s="262"/>
      <c r="T42" s="262"/>
      <c r="U42" s="262"/>
      <c r="V42" s="262"/>
      <c r="W42" s="262"/>
      <c r="X42" s="288"/>
      <c r="Y42" s="288"/>
      <c r="Z42" s="160">
        <f t="shared" si="2"/>
        <v>7</v>
      </c>
      <c r="AA42" s="5">
        <f t="shared" si="3"/>
        <v>245</v>
      </c>
    </row>
    <row r="43" spans="1:47" ht="15.75" customHeight="1">
      <c r="A43" s="108">
        <v>35</v>
      </c>
      <c r="B43" s="56" t="s">
        <v>20</v>
      </c>
      <c r="C43" s="57" t="s">
        <v>83</v>
      </c>
      <c r="D43" s="71"/>
      <c r="E43" s="71"/>
      <c r="F43" s="65"/>
      <c r="G43" s="314">
        <v>1</v>
      </c>
      <c r="H43" s="314">
        <v>1</v>
      </c>
      <c r="I43" s="262"/>
      <c r="J43" s="314">
        <v>1</v>
      </c>
      <c r="K43" s="314">
        <v>1</v>
      </c>
      <c r="L43" s="314">
        <v>1</v>
      </c>
      <c r="M43" s="314">
        <v>1</v>
      </c>
      <c r="N43" s="314">
        <v>1</v>
      </c>
      <c r="O43" s="314">
        <v>1</v>
      </c>
      <c r="P43" s="314">
        <v>1</v>
      </c>
      <c r="Q43" s="314">
        <v>1</v>
      </c>
      <c r="R43" s="314">
        <v>1</v>
      </c>
      <c r="S43" s="314">
        <v>1</v>
      </c>
      <c r="T43" s="314">
        <v>1</v>
      </c>
      <c r="U43" s="314">
        <v>1</v>
      </c>
      <c r="V43" s="314">
        <v>1</v>
      </c>
      <c r="W43" s="314">
        <v>1</v>
      </c>
      <c r="X43" s="315">
        <v>1</v>
      </c>
      <c r="Y43" s="369"/>
      <c r="Z43" s="160">
        <f t="shared" si="2"/>
        <v>17</v>
      </c>
      <c r="AA43" s="5">
        <f t="shared" si="3"/>
        <v>595</v>
      </c>
    </row>
    <row r="44" spans="1:47" ht="15.75" customHeight="1">
      <c r="A44" s="428">
        <v>36</v>
      </c>
      <c r="B44" s="56" t="s">
        <v>410</v>
      </c>
      <c r="C44" s="57" t="s">
        <v>610</v>
      </c>
      <c r="D44" s="67"/>
      <c r="E44" s="67"/>
      <c r="F44" s="101"/>
      <c r="G44" s="262"/>
      <c r="H44" s="262"/>
      <c r="I44" s="262"/>
      <c r="J44" s="314">
        <v>1</v>
      </c>
      <c r="K44" s="262"/>
      <c r="L44" s="262"/>
      <c r="M44" s="314">
        <v>1</v>
      </c>
      <c r="N44" s="262"/>
      <c r="O44" s="395">
        <v>0</v>
      </c>
      <c r="P44" s="262"/>
      <c r="Q44" s="262"/>
      <c r="R44" s="314">
        <v>1</v>
      </c>
      <c r="S44" s="262"/>
      <c r="T44" s="314">
        <v>1</v>
      </c>
      <c r="U44" s="262"/>
      <c r="V44" s="262"/>
      <c r="W44" s="314">
        <v>0</v>
      </c>
      <c r="X44" s="288"/>
      <c r="Y44" s="288"/>
      <c r="Z44" s="160">
        <f t="shared" si="2"/>
        <v>4</v>
      </c>
      <c r="AA44" s="5">
        <f t="shared" si="3"/>
        <v>140</v>
      </c>
    </row>
    <row r="45" spans="1:47" ht="15.75" customHeight="1">
      <c r="A45" s="108">
        <v>37</v>
      </c>
      <c r="B45" s="56" t="s">
        <v>159</v>
      </c>
      <c r="C45" s="57" t="s">
        <v>83</v>
      </c>
      <c r="D45" s="67"/>
      <c r="E45" s="67"/>
      <c r="F45" s="101"/>
      <c r="G45" s="275"/>
      <c r="H45" s="314">
        <v>1</v>
      </c>
      <c r="I45" s="262"/>
      <c r="J45" s="262"/>
      <c r="K45" s="262"/>
      <c r="L45" s="262"/>
      <c r="M45" s="262"/>
      <c r="N45" s="262"/>
      <c r="O45" s="314">
        <v>1</v>
      </c>
      <c r="P45" s="314">
        <v>1</v>
      </c>
      <c r="Q45" s="314">
        <v>1</v>
      </c>
      <c r="R45" s="314">
        <v>1</v>
      </c>
      <c r="S45" s="314">
        <v>1</v>
      </c>
      <c r="T45" s="314">
        <v>1</v>
      </c>
      <c r="U45" s="314">
        <v>1</v>
      </c>
      <c r="V45" s="314">
        <v>1</v>
      </c>
      <c r="W45" s="314">
        <v>1</v>
      </c>
      <c r="X45" s="315">
        <v>1</v>
      </c>
      <c r="Y45" s="323"/>
      <c r="Z45" s="160">
        <f t="shared" si="2"/>
        <v>11</v>
      </c>
      <c r="AA45" s="5">
        <f t="shared" si="3"/>
        <v>385</v>
      </c>
    </row>
    <row r="46" spans="1:47" ht="15.75" customHeight="1">
      <c r="A46" s="428">
        <v>38</v>
      </c>
      <c r="B46" s="128" t="s">
        <v>189</v>
      </c>
      <c r="C46" s="63" t="s">
        <v>83</v>
      </c>
      <c r="D46" s="181"/>
      <c r="E46" s="181"/>
      <c r="F46" s="398" t="s">
        <v>776</v>
      </c>
      <c r="G46" s="324">
        <v>1</v>
      </c>
      <c r="H46" s="324">
        <v>1</v>
      </c>
      <c r="I46" s="361"/>
      <c r="J46" s="324">
        <v>1</v>
      </c>
      <c r="K46" s="324">
        <v>1</v>
      </c>
      <c r="L46" s="316">
        <v>1</v>
      </c>
      <c r="M46" s="316">
        <v>1</v>
      </c>
      <c r="N46" s="316">
        <v>1</v>
      </c>
      <c r="O46" s="316">
        <v>1</v>
      </c>
      <c r="P46" s="316">
        <v>1</v>
      </c>
      <c r="Q46" s="316">
        <v>1</v>
      </c>
      <c r="R46" s="316">
        <v>1</v>
      </c>
      <c r="S46" s="316">
        <v>1</v>
      </c>
      <c r="T46" s="316">
        <v>1</v>
      </c>
      <c r="U46" s="316">
        <v>1</v>
      </c>
      <c r="V46" s="316">
        <v>1</v>
      </c>
      <c r="W46" s="316">
        <v>1</v>
      </c>
      <c r="X46" s="323">
        <v>1</v>
      </c>
      <c r="Y46" s="323"/>
      <c r="Z46" s="160">
        <f t="shared" si="2"/>
        <v>17</v>
      </c>
      <c r="AA46" s="5">
        <f t="shared" si="3"/>
        <v>595</v>
      </c>
    </row>
    <row r="47" spans="1:47" ht="15.75" customHeight="1">
      <c r="A47" s="108">
        <v>39</v>
      </c>
      <c r="B47" s="120" t="s">
        <v>91</v>
      </c>
      <c r="C47" s="121" t="s">
        <v>83</v>
      </c>
      <c r="D47" s="152"/>
      <c r="E47" s="152"/>
      <c r="F47" s="121"/>
      <c r="G47" s="282"/>
      <c r="H47" s="282"/>
      <c r="I47" s="282"/>
      <c r="J47" s="282"/>
      <c r="K47" s="282"/>
      <c r="L47" s="288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88"/>
      <c r="Y47" s="288"/>
      <c r="Z47" s="160">
        <f t="shared" si="2"/>
        <v>0</v>
      </c>
      <c r="AA47" s="5">
        <f t="shared" si="3"/>
        <v>0</v>
      </c>
    </row>
    <row r="48" spans="1:47" ht="15.75" customHeight="1">
      <c r="A48" s="428">
        <v>40</v>
      </c>
      <c r="B48" s="120" t="s">
        <v>729</v>
      </c>
      <c r="C48" s="121" t="s">
        <v>26</v>
      </c>
      <c r="D48" s="152"/>
      <c r="E48" s="152"/>
      <c r="F48" s="121"/>
      <c r="G48" s="320">
        <v>1</v>
      </c>
      <c r="H48" s="282"/>
      <c r="I48" s="282"/>
      <c r="J48" s="320">
        <v>1</v>
      </c>
      <c r="K48" s="282"/>
      <c r="L48" s="288"/>
      <c r="M48" s="262"/>
      <c r="N48" s="262"/>
      <c r="O48" s="262"/>
      <c r="P48" s="262"/>
      <c r="Q48" s="262"/>
      <c r="R48" s="262"/>
      <c r="S48" s="262"/>
      <c r="T48" s="314">
        <v>1</v>
      </c>
      <c r="U48" s="262"/>
      <c r="V48" s="262"/>
      <c r="W48" s="262"/>
      <c r="X48" s="288"/>
      <c r="Y48" s="288"/>
      <c r="Z48" s="160">
        <f t="shared" si="2"/>
        <v>3</v>
      </c>
      <c r="AA48" s="5">
        <f t="shared" si="3"/>
        <v>105</v>
      </c>
    </row>
    <row r="49" spans="1:47" ht="15.75" customHeight="1">
      <c r="A49" s="108">
        <v>41</v>
      </c>
      <c r="B49" s="120" t="s">
        <v>412</v>
      </c>
      <c r="C49" s="121" t="s">
        <v>83</v>
      </c>
      <c r="D49" s="161"/>
      <c r="E49" s="161"/>
      <c r="F49" s="121"/>
      <c r="G49" s="282"/>
      <c r="H49" s="282"/>
      <c r="I49" s="282"/>
      <c r="J49" s="282"/>
      <c r="K49" s="282"/>
      <c r="L49" s="288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88"/>
      <c r="Y49" s="288"/>
      <c r="Z49" s="160">
        <f t="shared" si="2"/>
        <v>0</v>
      </c>
      <c r="AA49" s="5">
        <f t="shared" si="3"/>
        <v>0</v>
      </c>
    </row>
    <row r="50" spans="1:47" ht="15.75" customHeight="1">
      <c r="A50" s="428">
        <v>42</v>
      </c>
      <c r="B50" s="103" t="s">
        <v>633</v>
      </c>
      <c r="C50" s="182" t="s">
        <v>26</v>
      </c>
      <c r="D50" s="249"/>
      <c r="E50" s="249"/>
      <c r="F50" s="247"/>
      <c r="G50" s="284"/>
      <c r="H50" s="284"/>
      <c r="I50" s="284"/>
      <c r="J50" s="284"/>
      <c r="K50" s="284"/>
      <c r="L50" s="262"/>
      <c r="M50" s="262"/>
      <c r="N50" s="262"/>
      <c r="O50" s="314">
        <v>1</v>
      </c>
      <c r="P50" s="262"/>
      <c r="Q50" s="314">
        <v>1</v>
      </c>
      <c r="R50" s="262"/>
      <c r="S50" s="262"/>
      <c r="T50" s="262"/>
      <c r="U50" s="262"/>
      <c r="V50" s="314">
        <v>1</v>
      </c>
      <c r="W50" s="262"/>
      <c r="X50" s="288"/>
      <c r="Y50" s="288"/>
      <c r="Z50" s="160">
        <f t="shared" si="2"/>
        <v>3</v>
      </c>
      <c r="AA50" s="5">
        <f t="shared" si="3"/>
        <v>105</v>
      </c>
    </row>
    <row r="51" spans="1:47" ht="15.75" customHeight="1">
      <c r="A51" s="108">
        <v>43</v>
      </c>
      <c r="B51" s="56" t="s">
        <v>671</v>
      </c>
      <c r="C51" s="149" t="s">
        <v>550</v>
      </c>
      <c r="D51" s="161"/>
      <c r="E51" s="161"/>
      <c r="F51" s="121"/>
      <c r="G51" s="314">
        <v>1</v>
      </c>
      <c r="H51" s="314">
        <v>1</v>
      </c>
      <c r="I51" s="48"/>
      <c r="J51" s="314">
        <v>1</v>
      </c>
      <c r="K51" s="316">
        <v>1</v>
      </c>
      <c r="L51" s="316">
        <v>1</v>
      </c>
      <c r="M51" s="316">
        <v>1</v>
      </c>
      <c r="N51" s="316">
        <v>1</v>
      </c>
      <c r="O51" s="262"/>
      <c r="P51" s="316">
        <v>1</v>
      </c>
      <c r="Q51" s="316">
        <v>0</v>
      </c>
      <c r="R51" s="316">
        <v>1</v>
      </c>
      <c r="S51" s="316">
        <v>1</v>
      </c>
      <c r="T51" s="316">
        <v>1</v>
      </c>
      <c r="U51" s="316">
        <v>1</v>
      </c>
      <c r="V51" s="316">
        <v>1</v>
      </c>
      <c r="W51" s="316">
        <v>1</v>
      </c>
      <c r="X51" s="323">
        <v>1</v>
      </c>
      <c r="Y51" s="323"/>
      <c r="Z51" s="160">
        <f t="shared" si="2"/>
        <v>15</v>
      </c>
      <c r="AA51" s="5">
        <f t="shared" si="3"/>
        <v>525</v>
      </c>
    </row>
    <row r="52" spans="1:47" ht="15.75" customHeight="1">
      <c r="A52" s="428">
        <v>44</v>
      </c>
      <c r="B52" s="56" t="s">
        <v>161</v>
      </c>
      <c r="C52" s="149" t="s">
        <v>26</v>
      </c>
      <c r="D52" s="161"/>
      <c r="E52" s="161"/>
      <c r="F52" s="121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88"/>
      <c r="Y52" s="288"/>
      <c r="Z52" s="160">
        <f t="shared" si="2"/>
        <v>0</v>
      </c>
      <c r="AA52" s="5">
        <f t="shared" si="3"/>
        <v>0</v>
      </c>
    </row>
    <row r="53" spans="1:47" ht="15.75" customHeight="1">
      <c r="A53" s="108">
        <v>45</v>
      </c>
      <c r="B53" s="56" t="s">
        <v>328</v>
      </c>
      <c r="C53" s="149" t="s">
        <v>26</v>
      </c>
      <c r="D53" s="161"/>
      <c r="E53" s="161"/>
      <c r="F53" s="208" t="s">
        <v>640</v>
      </c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88"/>
      <c r="Y53" s="288"/>
      <c r="Z53" s="160">
        <f t="shared" si="2"/>
        <v>0</v>
      </c>
      <c r="AA53" s="5">
        <f t="shared" si="3"/>
        <v>0</v>
      </c>
    </row>
    <row r="54" spans="1:47" ht="15.75" customHeight="1">
      <c r="A54" s="428">
        <v>46</v>
      </c>
      <c r="B54" s="128" t="s">
        <v>95</v>
      </c>
      <c r="C54" s="177" t="s">
        <v>5</v>
      </c>
      <c r="D54" s="152"/>
      <c r="E54" s="152"/>
      <c r="F54" s="195" t="s">
        <v>461</v>
      </c>
      <c r="G54" s="314">
        <v>1</v>
      </c>
      <c r="H54" s="314">
        <v>1</v>
      </c>
      <c r="I54" s="48"/>
      <c r="J54" s="314">
        <v>1</v>
      </c>
      <c r="K54" s="314">
        <v>1</v>
      </c>
      <c r="L54" s="314">
        <v>1</v>
      </c>
      <c r="M54" s="314">
        <v>1</v>
      </c>
      <c r="N54" s="314">
        <v>1</v>
      </c>
      <c r="O54" s="314">
        <v>1</v>
      </c>
      <c r="P54" s="314">
        <v>0</v>
      </c>
      <c r="Q54" s="314">
        <v>0</v>
      </c>
      <c r="R54" s="314">
        <v>0</v>
      </c>
      <c r="S54" s="314">
        <v>0</v>
      </c>
      <c r="T54" s="395">
        <v>1</v>
      </c>
      <c r="U54" s="395">
        <v>1</v>
      </c>
      <c r="V54" s="395">
        <v>1</v>
      </c>
      <c r="W54" s="395">
        <v>1</v>
      </c>
      <c r="X54" s="323">
        <v>1</v>
      </c>
      <c r="Y54" s="288"/>
      <c r="Z54" s="160">
        <f t="shared" si="2"/>
        <v>13</v>
      </c>
      <c r="AA54" s="5">
        <f t="shared" si="3"/>
        <v>455</v>
      </c>
    </row>
    <row r="55" spans="1:47" ht="15.75" customHeight="1">
      <c r="A55" s="108">
        <v>47</v>
      </c>
      <c r="B55" s="56" t="s">
        <v>470</v>
      </c>
      <c r="C55" s="57" t="s">
        <v>83</v>
      </c>
      <c r="D55" s="156"/>
      <c r="E55" s="183"/>
      <c r="F55" s="247"/>
      <c r="G55" s="314">
        <v>1</v>
      </c>
      <c r="H55" s="314">
        <v>1</v>
      </c>
      <c r="I55" s="48"/>
      <c r="J55" s="314">
        <v>1</v>
      </c>
      <c r="K55" s="314">
        <v>1</v>
      </c>
      <c r="L55" s="314">
        <v>1</v>
      </c>
      <c r="M55" s="314">
        <v>1</v>
      </c>
      <c r="N55" s="314">
        <v>1</v>
      </c>
      <c r="O55" s="314">
        <v>1</v>
      </c>
      <c r="P55" s="314">
        <v>1</v>
      </c>
      <c r="Q55" s="314">
        <v>1</v>
      </c>
      <c r="R55" s="314">
        <v>1</v>
      </c>
      <c r="S55" s="314">
        <v>1</v>
      </c>
      <c r="T55" s="314">
        <v>1</v>
      </c>
      <c r="U55" s="314">
        <v>1</v>
      </c>
      <c r="V55" s="314">
        <v>1</v>
      </c>
      <c r="W55" s="314">
        <v>1</v>
      </c>
      <c r="X55" s="315">
        <v>1</v>
      </c>
      <c r="Y55" s="315"/>
      <c r="Z55" s="160">
        <f t="shared" si="2"/>
        <v>17</v>
      </c>
      <c r="AA55" s="5">
        <f t="shared" si="3"/>
        <v>595</v>
      </c>
    </row>
    <row r="56" spans="1:47" ht="15.75" customHeight="1">
      <c r="A56" s="428">
        <v>48</v>
      </c>
      <c r="B56" s="56" t="s">
        <v>232</v>
      </c>
      <c r="C56" s="57" t="s">
        <v>83</v>
      </c>
      <c r="D56" s="67"/>
      <c r="E56" s="67"/>
      <c r="F56" s="399" t="s">
        <v>777</v>
      </c>
      <c r="G56" s="316">
        <v>1</v>
      </c>
      <c r="H56" s="262"/>
      <c r="I56" s="262"/>
      <c r="J56" s="316">
        <v>1</v>
      </c>
      <c r="K56" s="262"/>
      <c r="L56" s="262"/>
      <c r="M56" s="262"/>
      <c r="N56" s="262"/>
      <c r="O56" s="316">
        <v>1</v>
      </c>
      <c r="P56" s="262"/>
      <c r="Q56" s="262"/>
      <c r="R56" s="262"/>
      <c r="S56" s="262"/>
      <c r="T56" s="262"/>
      <c r="U56" s="316">
        <v>1</v>
      </c>
      <c r="V56" s="262"/>
      <c r="W56" s="262"/>
      <c r="X56" s="288"/>
      <c r="Y56" s="288"/>
      <c r="Z56" s="160">
        <f t="shared" si="2"/>
        <v>4</v>
      </c>
      <c r="AA56" s="5">
        <f t="shared" si="3"/>
        <v>140</v>
      </c>
    </row>
    <row r="57" spans="1:47" ht="15.75" customHeight="1">
      <c r="A57" s="108">
        <v>49</v>
      </c>
      <c r="B57" s="56" t="s">
        <v>148</v>
      </c>
      <c r="C57" s="57" t="s">
        <v>26</v>
      </c>
      <c r="D57" s="67"/>
      <c r="E57" s="69"/>
      <c r="F57" s="412"/>
      <c r="G57" s="314">
        <v>1</v>
      </c>
      <c r="H57" s="314">
        <v>1</v>
      </c>
      <c r="I57" s="48"/>
      <c r="J57" s="314">
        <v>1</v>
      </c>
      <c r="K57" s="314">
        <v>1</v>
      </c>
      <c r="L57" s="314">
        <v>1</v>
      </c>
      <c r="M57" s="314">
        <v>1</v>
      </c>
      <c r="N57" s="314">
        <v>1</v>
      </c>
      <c r="O57" s="314">
        <v>1</v>
      </c>
      <c r="P57" s="314">
        <v>1</v>
      </c>
      <c r="Q57" s="314">
        <v>1</v>
      </c>
      <c r="R57" s="314">
        <v>1</v>
      </c>
      <c r="S57" s="314">
        <v>1</v>
      </c>
      <c r="T57" s="314">
        <v>1</v>
      </c>
      <c r="U57" s="314">
        <v>1</v>
      </c>
      <c r="V57" s="314">
        <v>1</v>
      </c>
      <c r="W57" s="314">
        <v>1</v>
      </c>
      <c r="X57" s="411">
        <v>1</v>
      </c>
      <c r="Y57" s="315"/>
      <c r="Z57" s="160">
        <f t="shared" si="2"/>
        <v>17</v>
      </c>
      <c r="AA57" s="5">
        <f t="shared" si="3"/>
        <v>595</v>
      </c>
    </row>
    <row r="58" spans="1:47" ht="15.75" customHeight="1">
      <c r="A58" s="428">
        <v>50</v>
      </c>
      <c r="B58" s="56" t="s">
        <v>107</v>
      </c>
      <c r="C58" s="57" t="s">
        <v>83</v>
      </c>
      <c r="D58" s="67"/>
      <c r="E58" s="69"/>
      <c r="F58" s="240"/>
      <c r="G58" s="314">
        <v>1</v>
      </c>
      <c r="H58" s="314">
        <v>1</v>
      </c>
      <c r="I58" s="48"/>
      <c r="J58" s="314">
        <v>1</v>
      </c>
      <c r="K58" s="314">
        <v>1</v>
      </c>
      <c r="L58" s="314">
        <v>1</v>
      </c>
      <c r="M58" s="314">
        <v>1</v>
      </c>
      <c r="N58" s="314">
        <v>1</v>
      </c>
      <c r="O58" s="314">
        <v>1</v>
      </c>
      <c r="P58" s="314">
        <v>1</v>
      </c>
      <c r="Q58" s="314">
        <v>1</v>
      </c>
      <c r="R58" s="314">
        <v>1</v>
      </c>
      <c r="S58" s="314">
        <v>1</v>
      </c>
      <c r="T58" s="316">
        <v>1</v>
      </c>
      <c r="U58" s="316">
        <v>1</v>
      </c>
      <c r="V58" s="316">
        <v>1</v>
      </c>
      <c r="W58" s="418">
        <v>1</v>
      </c>
      <c r="X58" s="322">
        <v>1</v>
      </c>
      <c r="Y58" s="323"/>
      <c r="Z58" s="160">
        <f t="shared" si="2"/>
        <v>17</v>
      </c>
      <c r="AA58" s="5">
        <f t="shared" si="3"/>
        <v>595</v>
      </c>
    </row>
    <row r="59" spans="1:47" ht="15.75" customHeight="1">
      <c r="A59" s="108">
        <v>51</v>
      </c>
      <c r="B59" s="56" t="s">
        <v>136</v>
      </c>
      <c r="C59" s="149" t="s">
        <v>5</v>
      </c>
      <c r="D59" s="152"/>
      <c r="E59" s="152"/>
      <c r="F59" s="121"/>
      <c r="G59" s="373">
        <v>1</v>
      </c>
      <c r="H59" s="373">
        <v>1</v>
      </c>
      <c r="I59" s="372"/>
      <c r="J59" s="373">
        <v>1</v>
      </c>
      <c r="K59" s="373">
        <v>1</v>
      </c>
      <c r="L59" s="373">
        <v>1</v>
      </c>
      <c r="M59" s="373">
        <v>1</v>
      </c>
      <c r="N59" s="373">
        <v>1</v>
      </c>
      <c r="O59" s="325">
        <v>1</v>
      </c>
      <c r="P59" s="325">
        <v>1</v>
      </c>
      <c r="Q59" s="372"/>
      <c r="R59" s="372"/>
      <c r="S59" s="325">
        <v>1</v>
      </c>
      <c r="T59" s="325">
        <v>1</v>
      </c>
      <c r="U59" s="325">
        <v>1</v>
      </c>
      <c r="V59" s="325">
        <v>1</v>
      </c>
      <c r="W59" s="419">
        <v>1</v>
      </c>
      <c r="X59" s="322">
        <v>1</v>
      </c>
      <c r="Y59" s="323"/>
      <c r="Z59" s="160">
        <f t="shared" si="2"/>
        <v>15</v>
      </c>
      <c r="AA59" s="5">
        <f t="shared" si="3"/>
        <v>525</v>
      </c>
      <c r="AB59" s="12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</row>
    <row r="60" spans="1:47" ht="15.75" customHeight="1">
      <c r="A60" s="428">
        <v>52</v>
      </c>
      <c r="B60" s="56" t="s">
        <v>193</v>
      </c>
      <c r="C60" s="57" t="s">
        <v>83</v>
      </c>
      <c r="D60" s="67"/>
      <c r="E60" s="67"/>
      <c r="F60" s="101"/>
      <c r="G60" s="314">
        <v>1</v>
      </c>
      <c r="H60" s="314">
        <v>1</v>
      </c>
      <c r="I60" s="314"/>
      <c r="J60" s="314">
        <v>1</v>
      </c>
      <c r="K60" s="314">
        <v>1</v>
      </c>
      <c r="L60" s="314">
        <v>1</v>
      </c>
      <c r="M60" s="314">
        <v>1</v>
      </c>
      <c r="N60" s="314">
        <v>1</v>
      </c>
      <c r="O60" s="314">
        <v>1</v>
      </c>
      <c r="P60" s="314">
        <v>1</v>
      </c>
      <c r="Q60" s="314">
        <v>1</v>
      </c>
      <c r="R60" s="314">
        <v>1</v>
      </c>
      <c r="S60" s="314">
        <v>1</v>
      </c>
      <c r="T60" s="314">
        <v>1</v>
      </c>
      <c r="U60" s="314">
        <v>1</v>
      </c>
      <c r="V60" s="314">
        <v>1</v>
      </c>
      <c r="W60" s="326">
        <v>1</v>
      </c>
      <c r="X60" s="320">
        <v>1</v>
      </c>
      <c r="Y60" s="315"/>
      <c r="Z60" s="160">
        <f t="shared" si="2"/>
        <v>17</v>
      </c>
      <c r="AA60" s="5">
        <f t="shared" si="3"/>
        <v>595</v>
      </c>
    </row>
    <row r="61" spans="1:47" ht="15.75" customHeight="1">
      <c r="A61" s="108">
        <v>53</v>
      </c>
      <c r="B61" s="56" t="s">
        <v>526</v>
      </c>
      <c r="C61" s="57" t="s">
        <v>26</v>
      </c>
      <c r="D61" s="67"/>
      <c r="E61" s="67"/>
      <c r="F61" s="101"/>
      <c r="G61" s="314">
        <v>1</v>
      </c>
      <c r="H61" s="314">
        <v>1</v>
      </c>
      <c r="I61" s="262"/>
      <c r="J61" s="262"/>
      <c r="K61" s="314">
        <v>1</v>
      </c>
      <c r="L61" s="48"/>
      <c r="M61" s="48"/>
      <c r="N61" s="48"/>
      <c r="O61" s="314">
        <v>1</v>
      </c>
      <c r="P61" s="262"/>
      <c r="Q61" s="262"/>
      <c r="R61" s="262"/>
      <c r="S61" s="262"/>
      <c r="T61" s="314">
        <v>1</v>
      </c>
      <c r="U61" s="314">
        <v>1</v>
      </c>
      <c r="V61" s="316">
        <v>1</v>
      </c>
      <c r="W61" s="418">
        <v>1</v>
      </c>
      <c r="X61" s="322">
        <v>1</v>
      </c>
      <c r="Y61" s="288"/>
      <c r="Z61" s="160">
        <f t="shared" si="2"/>
        <v>9</v>
      </c>
      <c r="AA61" s="5">
        <f t="shared" si="3"/>
        <v>315</v>
      </c>
    </row>
    <row r="62" spans="1:47" ht="15.75" customHeight="1">
      <c r="A62" s="428">
        <v>54</v>
      </c>
      <c r="B62" s="56" t="s">
        <v>533</v>
      </c>
      <c r="C62" s="57" t="s">
        <v>5</v>
      </c>
      <c r="D62" s="150"/>
      <c r="E62" s="151"/>
      <c r="F62" s="209" t="s">
        <v>645</v>
      </c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3"/>
      <c r="X62" s="282"/>
      <c r="Y62" s="288"/>
      <c r="Z62" s="160">
        <f t="shared" si="2"/>
        <v>0</v>
      </c>
      <c r="AA62" s="5">
        <f t="shared" si="3"/>
        <v>0</v>
      </c>
      <c r="AB62" s="12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</row>
    <row r="63" spans="1:47" ht="15.75" customHeight="1">
      <c r="A63" s="108">
        <v>55</v>
      </c>
      <c r="B63" s="56" t="s">
        <v>253</v>
      </c>
      <c r="C63" s="57" t="s">
        <v>26</v>
      </c>
      <c r="D63" s="67"/>
      <c r="E63" s="67"/>
      <c r="F63" s="101"/>
      <c r="G63" s="262"/>
      <c r="H63" s="262"/>
      <c r="I63" s="262"/>
      <c r="J63" s="314">
        <v>1</v>
      </c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86"/>
      <c r="X63" s="282"/>
      <c r="Y63" s="288"/>
      <c r="Z63" s="160">
        <f t="shared" si="2"/>
        <v>1</v>
      </c>
      <c r="AA63" s="5">
        <f t="shared" si="3"/>
        <v>35</v>
      </c>
    </row>
    <row r="64" spans="1:47" ht="15.75" customHeight="1">
      <c r="A64" s="428">
        <v>56</v>
      </c>
      <c r="B64" s="56" t="s">
        <v>186</v>
      </c>
      <c r="C64" s="57" t="s">
        <v>83</v>
      </c>
      <c r="D64" s="68"/>
      <c r="E64" s="68"/>
      <c r="F64" s="64"/>
      <c r="G64" s="314">
        <v>1</v>
      </c>
      <c r="H64" s="314">
        <v>1</v>
      </c>
      <c r="I64" s="48"/>
      <c r="J64" s="314">
        <v>1</v>
      </c>
      <c r="K64" s="314">
        <v>1</v>
      </c>
      <c r="L64" s="314">
        <v>1</v>
      </c>
      <c r="M64" s="314">
        <v>1</v>
      </c>
      <c r="N64" s="314">
        <v>1</v>
      </c>
      <c r="O64" s="314">
        <v>1</v>
      </c>
      <c r="P64" s="314">
        <v>1</v>
      </c>
      <c r="Q64" s="314">
        <v>1</v>
      </c>
      <c r="R64" s="314">
        <v>1</v>
      </c>
      <c r="S64" s="314">
        <v>1</v>
      </c>
      <c r="T64" s="314">
        <v>1</v>
      </c>
      <c r="U64" s="314">
        <v>1</v>
      </c>
      <c r="V64" s="314">
        <v>1</v>
      </c>
      <c r="W64" s="326">
        <v>1</v>
      </c>
      <c r="X64" s="320">
        <v>1</v>
      </c>
      <c r="Y64" s="315"/>
      <c r="Z64" s="160">
        <f t="shared" si="2"/>
        <v>17</v>
      </c>
      <c r="AA64" s="5">
        <f t="shared" si="3"/>
        <v>595</v>
      </c>
    </row>
    <row r="65" spans="1:27" ht="15.75" customHeight="1">
      <c r="A65" s="108">
        <v>57</v>
      </c>
      <c r="B65" s="56" t="s">
        <v>606</v>
      </c>
      <c r="C65" s="57" t="s">
        <v>550</v>
      </c>
      <c r="D65" s="68"/>
      <c r="E65" s="68"/>
      <c r="F65" s="101"/>
      <c r="G65" s="314">
        <v>1</v>
      </c>
      <c r="H65" s="262"/>
      <c r="I65" s="262"/>
      <c r="J65" s="262"/>
      <c r="K65" s="262"/>
      <c r="L65" s="262"/>
      <c r="M65" s="262"/>
      <c r="N65" s="262"/>
      <c r="O65" s="314">
        <v>1</v>
      </c>
      <c r="P65" s="262"/>
      <c r="Q65" s="262"/>
      <c r="R65" s="262"/>
      <c r="S65" s="262"/>
      <c r="T65" s="314">
        <v>1</v>
      </c>
      <c r="U65" s="262"/>
      <c r="V65" s="262"/>
      <c r="W65" s="314">
        <v>1</v>
      </c>
      <c r="X65" s="287"/>
      <c r="Y65" s="288"/>
      <c r="Z65" s="160">
        <f t="shared" si="2"/>
        <v>4</v>
      </c>
      <c r="AA65" s="5">
        <f t="shared" si="3"/>
        <v>140</v>
      </c>
    </row>
    <row r="66" spans="1:27" ht="15.75" customHeight="1">
      <c r="A66" s="428">
        <v>58</v>
      </c>
      <c r="B66" s="56" t="s">
        <v>236</v>
      </c>
      <c r="C66" s="57" t="s">
        <v>26</v>
      </c>
      <c r="D66" s="68"/>
      <c r="E66" s="68"/>
      <c r="F66" s="101"/>
      <c r="G66" s="262"/>
      <c r="H66" s="262"/>
      <c r="I66" s="262"/>
      <c r="J66" s="262"/>
      <c r="K66" s="314">
        <v>1</v>
      </c>
      <c r="L66" s="314">
        <v>1</v>
      </c>
      <c r="M66" s="314">
        <v>1</v>
      </c>
      <c r="N66" s="314">
        <v>1</v>
      </c>
      <c r="O66" s="262"/>
      <c r="P66" s="48"/>
      <c r="Q66" s="314">
        <v>1</v>
      </c>
      <c r="R66" s="314">
        <v>1</v>
      </c>
      <c r="S66" s="314">
        <v>1</v>
      </c>
      <c r="T66" s="314">
        <v>1</v>
      </c>
      <c r="U66" s="314">
        <v>1</v>
      </c>
      <c r="V66" s="316">
        <v>1</v>
      </c>
      <c r="W66" s="316">
        <v>1</v>
      </c>
      <c r="X66" s="323">
        <v>1</v>
      </c>
      <c r="Y66" s="288"/>
      <c r="Z66" s="160">
        <f t="shared" si="2"/>
        <v>12</v>
      </c>
      <c r="AA66" s="5">
        <f t="shared" si="3"/>
        <v>420</v>
      </c>
    </row>
    <row r="67" spans="1:27" ht="15.75" customHeight="1">
      <c r="A67" s="108">
        <v>59</v>
      </c>
      <c r="B67" s="56" t="s">
        <v>187</v>
      </c>
      <c r="C67" s="57" t="s">
        <v>83</v>
      </c>
      <c r="D67" s="67"/>
      <c r="E67" s="67"/>
      <c r="F67" s="101"/>
      <c r="G67" s="314">
        <v>1</v>
      </c>
      <c r="H67" s="314">
        <v>1</v>
      </c>
      <c r="I67" s="57"/>
      <c r="J67" s="314">
        <v>1</v>
      </c>
      <c r="K67" s="314">
        <v>1</v>
      </c>
      <c r="L67" s="314">
        <v>1</v>
      </c>
      <c r="M67" s="314">
        <v>1</v>
      </c>
      <c r="N67" s="314">
        <v>1</v>
      </c>
      <c r="O67" s="314">
        <v>1</v>
      </c>
      <c r="P67" s="314">
        <v>1</v>
      </c>
      <c r="Q67" s="314">
        <v>1</v>
      </c>
      <c r="R67" s="314">
        <v>1</v>
      </c>
      <c r="S67" s="314">
        <v>1</v>
      </c>
      <c r="T67" s="314">
        <v>1</v>
      </c>
      <c r="U67" s="314">
        <v>1</v>
      </c>
      <c r="V67" s="314">
        <v>1</v>
      </c>
      <c r="W67" s="314">
        <v>1</v>
      </c>
      <c r="X67" s="315">
        <v>1</v>
      </c>
      <c r="Y67" s="315"/>
      <c r="Z67" s="160">
        <f t="shared" si="2"/>
        <v>17</v>
      </c>
      <c r="AA67" s="5">
        <f t="shared" si="3"/>
        <v>595</v>
      </c>
    </row>
    <row r="68" spans="1:27" ht="15.75" customHeight="1">
      <c r="A68" s="428">
        <v>60</v>
      </c>
      <c r="B68" s="56" t="s">
        <v>414</v>
      </c>
      <c r="C68" s="57" t="s">
        <v>83</v>
      </c>
      <c r="D68" s="67"/>
      <c r="E68" s="67"/>
      <c r="F68" s="143" t="s">
        <v>461</v>
      </c>
      <c r="G68" s="314">
        <v>1</v>
      </c>
      <c r="H68" s="314">
        <v>1</v>
      </c>
      <c r="I68" s="48"/>
      <c r="J68" s="314">
        <v>1</v>
      </c>
      <c r="K68" s="314">
        <v>1</v>
      </c>
      <c r="L68" s="314">
        <v>1</v>
      </c>
      <c r="M68" s="314">
        <v>1</v>
      </c>
      <c r="N68" s="314">
        <v>1</v>
      </c>
      <c r="O68" s="314">
        <v>1</v>
      </c>
      <c r="P68" s="314">
        <v>1</v>
      </c>
      <c r="Q68" s="314">
        <v>1</v>
      </c>
      <c r="R68" s="314">
        <v>1</v>
      </c>
      <c r="S68" s="314">
        <v>1</v>
      </c>
      <c r="T68" s="314">
        <v>1</v>
      </c>
      <c r="U68" s="314">
        <v>1</v>
      </c>
      <c r="V68" s="314">
        <v>1</v>
      </c>
      <c r="W68" s="314">
        <v>1</v>
      </c>
      <c r="X68" s="315">
        <v>1</v>
      </c>
      <c r="Y68" s="315"/>
      <c r="Z68" s="160">
        <f t="shared" si="2"/>
        <v>17</v>
      </c>
      <c r="AA68" s="5">
        <f t="shared" si="3"/>
        <v>595</v>
      </c>
    </row>
    <row r="69" spans="1:27" ht="15.75" customHeight="1">
      <c r="A69" s="108">
        <v>61</v>
      </c>
      <c r="B69" s="56" t="s">
        <v>684</v>
      </c>
      <c r="C69" s="57" t="s">
        <v>5</v>
      </c>
      <c r="D69" s="67"/>
      <c r="E69" s="67"/>
      <c r="F69" s="101"/>
      <c r="G69" s="262"/>
      <c r="H69" s="262"/>
      <c r="I69" s="262"/>
      <c r="J69" s="314">
        <v>1</v>
      </c>
      <c r="K69" s="262"/>
      <c r="L69" s="262"/>
      <c r="M69" s="262"/>
      <c r="N69" s="262"/>
      <c r="O69" s="314">
        <v>1</v>
      </c>
      <c r="P69" s="262"/>
      <c r="Q69" s="262"/>
      <c r="R69" s="262"/>
      <c r="S69" s="262"/>
      <c r="T69" s="262"/>
      <c r="U69" s="262"/>
      <c r="V69" s="262"/>
      <c r="W69" s="316">
        <v>1</v>
      </c>
      <c r="X69" s="288"/>
      <c r="Y69" s="288"/>
      <c r="Z69" s="160">
        <f t="shared" si="2"/>
        <v>3</v>
      </c>
      <c r="AA69" s="5">
        <f t="shared" si="3"/>
        <v>105</v>
      </c>
    </row>
    <row r="70" spans="1:27" ht="15.75" customHeight="1">
      <c r="A70" s="428">
        <v>62</v>
      </c>
      <c r="B70" s="56" t="s">
        <v>4</v>
      </c>
      <c r="C70" s="57" t="s">
        <v>83</v>
      </c>
      <c r="D70" s="73"/>
      <c r="E70" s="73"/>
      <c r="F70" s="65"/>
      <c r="G70" s="262"/>
      <c r="H70" s="262"/>
      <c r="I70" s="262"/>
      <c r="J70" s="262"/>
      <c r="K70" s="262"/>
      <c r="L70" s="314">
        <v>1</v>
      </c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88"/>
      <c r="Y70" s="288"/>
      <c r="Z70" s="160">
        <f t="shared" si="2"/>
        <v>1</v>
      </c>
      <c r="AA70" s="5">
        <f t="shared" si="3"/>
        <v>35</v>
      </c>
    </row>
    <row r="71" spans="1:27" ht="15.75" customHeight="1">
      <c r="A71" s="108">
        <v>63</v>
      </c>
      <c r="B71" s="56" t="s">
        <v>211</v>
      </c>
      <c r="C71" s="57" t="s">
        <v>5</v>
      </c>
      <c r="D71" s="79"/>
      <c r="E71" s="79"/>
      <c r="F71" s="9"/>
      <c r="G71" s="316">
        <v>1</v>
      </c>
      <c r="H71" s="262"/>
      <c r="I71" s="262"/>
      <c r="J71" s="262"/>
      <c r="K71" s="316">
        <v>1</v>
      </c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88"/>
      <c r="Y71" s="288"/>
      <c r="Z71" s="160">
        <f t="shared" si="2"/>
        <v>2</v>
      </c>
      <c r="AA71" s="5">
        <f t="shared" si="3"/>
        <v>70</v>
      </c>
    </row>
    <row r="72" spans="1:27" ht="15.75" customHeight="1">
      <c r="A72" s="428">
        <v>64</v>
      </c>
      <c r="B72" s="56" t="s">
        <v>164</v>
      </c>
      <c r="C72" s="57" t="s">
        <v>83</v>
      </c>
      <c r="D72" s="67"/>
      <c r="E72" s="67"/>
      <c r="F72" s="89"/>
      <c r="G72" s="314">
        <v>1</v>
      </c>
      <c r="H72" s="314">
        <v>1</v>
      </c>
      <c r="I72" s="314"/>
      <c r="J72" s="314">
        <v>1</v>
      </c>
      <c r="K72" s="314">
        <v>1</v>
      </c>
      <c r="L72" s="314">
        <v>1</v>
      </c>
      <c r="M72" s="314">
        <v>1</v>
      </c>
      <c r="N72" s="314">
        <v>1</v>
      </c>
      <c r="O72" s="314">
        <v>1</v>
      </c>
      <c r="P72" s="314">
        <v>1</v>
      </c>
      <c r="Q72" s="314">
        <v>1</v>
      </c>
      <c r="R72" s="314">
        <v>1</v>
      </c>
      <c r="S72" s="314">
        <v>1</v>
      </c>
      <c r="T72" s="314">
        <v>1</v>
      </c>
      <c r="U72" s="314">
        <v>1</v>
      </c>
      <c r="V72" s="314">
        <v>1</v>
      </c>
      <c r="W72" s="314">
        <v>1</v>
      </c>
      <c r="X72" s="315">
        <v>1</v>
      </c>
      <c r="Y72" s="315"/>
      <c r="Z72" s="160">
        <f t="shared" si="2"/>
        <v>17</v>
      </c>
      <c r="AA72" s="5">
        <f t="shared" si="3"/>
        <v>595</v>
      </c>
    </row>
    <row r="73" spans="1:27" ht="15.75" customHeight="1">
      <c r="A73" s="108">
        <v>65</v>
      </c>
      <c r="B73" s="128" t="s">
        <v>466</v>
      </c>
      <c r="C73" s="63" t="s">
        <v>83</v>
      </c>
      <c r="D73" s="181"/>
      <c r="E73" s="181"/>
      <c r="F73" s="237"/>
      <c r="G73" s="356">
        <v>1</v>
      </c>
      <c r="H73" s="356">
        <v>1</v>
      </c>
      <c r="I73" s="275"/>
      <c r="J73" s="356">
        <v>1</v>
      </c>
      <c r="K73" s="356">
        <v>1</v>
      </c>
      <c r="L73" s="356">
        <v>1</v>
      </c>
      <c r="M73" s="356">
        <v>1</v>
      </c>
      <c r="N73" s="356">
        <v>1</v>
      </c>
      <c r="O73" s="356">
        <v>1</v>
      </c>
      <c r="P73" s="356">
        <v>1</v>
      </c>
      <c r="Q73" s="356">
        <v>1</v>
      </c>
      <c r="R73" s="356">
        <v>1</v>
      </c>
      <c r="S73" s="356">
        <v>1</v>
      </c>
      <c r="T73" s="356">
        <v>1</v>
      </c>
      <c r="U73" s="356">
        <v>1</v>
      </c>
      <c r="V73" s="314">
        <v>1</v>
      </c>
      <c r="W73" s="314">
        <v>1</v>
      </c>
      <c r="X73" s="315">
        <v>1</v>
      </c>
      <c r="Y73" s="288"/>
      <c r="Z73" s="160">
        <f t="shared" si="2"/>
        <v>17</v>
      </c>
      <c r="AA73" s="5">
        <f t="shared" si="3"/>
        <v>595</v>
      </c>
    </row>
    <row r="74" spans="1:27" ht="15.75" customHeight="1">
      <c r="A74" s="428">
        <v>66</v>
      </c>
      <c r="B74" s="120" t="s">
        <v>535</v>
      </c>
      <c r="C74" s="121" t="s">
        <v>5</v>
      </c>
      <c r="D74" s="165"/>
      <c r="E74" s="165"/>
      <c r="F74" s="166"/>
      <c r="G74" s="320">
        <v>1</v>
      </c>
      <c r="H74" s="320">
        <v>1</v>
      </c>
      <c r="I74" s="282"/>
      <c r="J74" s="282"/>
      <c r="K74" s="320">
        <v>1</v>
      </c>
      <c r="L74" s="320">
        <v>1</v>
      </c>
      <c r="M74" s="320">
        <v>1</v>
      </c>
      <c r="N74" s="320">
        <v>1</v>
      </c>
      <c r="O74" s="320">
        <v>1</v>
      </c>
      <c r="P74" s="316">
        <v>1</v>
      </c>
      <c r="Q74" s="48"/>
      <c r="R74" s="316">
        <v>1</v>
      </c>
      <c r="S74" s="316">
        <v>1</v>
      </c>
      <c r="T74" s="316">
        <v>1</v>
      </c>
      <c r="U74" s="316">
        <v>1</v>
      </c>
      <c r="V74" s="316">
        <v>1</v>
      </c>
      <c r="W74" s="316">
        <v>1</v>
      </c>
      <c r="X74" s="323">
        <v>1</v>
      </c>
      <c r="Y74" s="323"/>
      <c r="Z74" s="160">
        <f t="shared" si="2"/>
        <v>15</v>
      </c>
      <c r="AA74" s="5">
        <f t="shared" si="3"/>
        <v>525</v>
      </c>
    </row>
    <row r="75" spans="1:27" ht="15.75" customHeight="1">
      <c r="A75" s="108">
        <v>67</v>
      </c>
      <c r="B75" s="120" t="s">
        <v>609</v>
      </c>
      <c r="C75" s="121" t="s">
        <v>5</v>
      </c>
      <c r="D75" s="165"/>
      <c r="E75" s="165"/>
      <c r="F75" s="166"/>
      <c r="G75" s="282"/>
      <c r="H75" s="282"/>
      <c r="I75" s="282"/>
      <c r="J75" s="282"/>
      <c r="K75" s="282"/>
      <c r="L75" s="282"/>
      <c r="M75" s="282"/>
      <c r="N75" s="282"/>
      <c r="O75" s="282"/>
      <c r="P75" s="262"/>
      <c r="Q75" s="262"/>
      <c r="R75" s="262"/>
      <c r="S75" s="262"/>
      <c r="T75" s="262"/>
      <c r="U75" s="262"/>
      <c r="V75" s="262"/>
      <c r="W75" s="316">
        <v>1</v>
      </c>
      <c r="X75" s="288"/>
      <c r="Y75" s="288"/>
      <c r="Z75" s="160">
        <f t="shared" ref="Z75:Z139" si="4">+SUM(G75:Y75)</f>
        <v>1</v>
      </c>
      <c r="AA75" s="5">
        <f t="shared" ref="AA75:AA139" si="5">+Z75*35</f>
        <v>35</v>
      </c>
    </row>
    <row r="76" spans="1:27" ht="15.75" customHeight="1">
      <c r="A76" s="428">
        <v>68</v>
      </c>
      <c r="B76" s="120" t="s">
        <v>677</v>
      </c>
      <c r="C76" s="121" t="s">
        <v>5</v>
      </c>
      <c r="D76" s="165"/>
      <c r="E76" s="165"/>
      <c r="F76" s="166"/>
      <c r="G76" s="282"/>
      <c r="H76" s="282"/>
      <c r="I76" s="282"/>
      <c r="J76" s="282"/>
      <c r="K76" s="282"/>
      <c r="L76" s="282"/>
      <c r="M76" s="282"/>
      <c r="N76" s="282"/>
      <c r="O76" s="282"/>
      <c r="P76" s="262"/>
      <c r="Q76" s="262"/>
      <c r="R76" s="262"/>
      <c r="S76" s="262"/>
      <c r="T76" s="262"/>
      <c r="U76" s="262"/>
      <c r="V76" s="262"/>
      <c r="W76" s="262"/>
      <c r="X76" s="288"/>
      <c r="Y76" s="288"/>
      <c r="Z76" s="160">
        <f t="shared" si="4"/>
        <v>0</v>
      </c>
      <c r="AA76" s="5">
        <f t="shared" si="5"/>
        <v>0</v>
      </c>
    </row>
    <row r="77" spans="1:27" ht="15.75" customHeight="1">
      <c r="A77" s="108">
        <v>69</v>
      </c>
      <c r="B77" s="120" t="s">
        <v>133</v>
      </c>
      <c r="C77" s="121" t="s">
        <v>5</v>
      </c>
      <c r="D77" s="152"/>
      <c r="E77" s="152"/>
      <c r="F77" s="121"/>
      <c r="G77" s="320">
        <v>1</v>
      </c>
      <c r="H77" s="320">
        <v>1</v>
      </c>
      <c r="I77" s="95"/>
      <c r="J77" s="320">
        <v>1</v>
      </c>
      <c r="K77" s="320">
        <v>1</v>
      </c>
      <c r="L77" s="320">
        <v>1</v>
      </c>
      <c r="M77" s="320">
        <v>1</v>
      </c>
      <c r="N77" s="320">
        <v>1</v>
      </c>
      <c r="O77" s="320">
        <v>1</v>
      </c>
      <c r="P77" s="314">
        <v>1</v>
      </c>
      <c r="Q77" s="314">
        <v>1</v>
      </c>
      <c r="R77" s="314">
        <v>1</v>
      </c>
      <c r="S77" s="314">
        <v>1</v>
      </c>
      <c r="T77" s="314">
        <v>1</v>
      </c>
      <c r="U77" s="314">
        <v>1</v>
      </c>
      <c r="V77" s="314">
        <v>1</v>
      </c>
      <c r="W77" s="314">
        <v>1</v>
      </c>
      <c r="X77" s="315">
        <v>1</v>
      </c>
      <c r="Y77" s="323"/>
      <c r="Z77" s="160">
        <f t="shared" si="4"/>
        <v>17</v>
      </c>
      <c r="AA77" s="5">
        <f t="shared" si="5"/>
        <v>595</v>
      </c>
    </row>
    <row r="78" spans="1:27" ht="15.75" customHeight="1">
      <c r="A78" s="428">
        <v>70</v>
      </c>
      <c r="B78" s="120" t="s">
        <v>500</v>
      </c>
      <c r="C78" s="121" t="s">
        <v>83</v>
      </c>
      <c r="D78" s="161"/>
      <c r="E78" s="161"/>
      <c r="F78" s="121"/>
      <c r="G78" s="282"/>
      <c r="H78" s="282"/>
      <c r="I78" s="282"/>
      <c r="J78" s="282"/>
      <c r="K78" s="282"/>
      <c r="L78" s="282"/>
      <c r="M78" s="282"/>
      <c r="N78" s="282"/>
      <c r="O78" s="282"/>
      <c r="P78" s="262"/>
      <c r="Q78" s="262"/>
      <c r="R78" s="262"/>
      <c r="S78" s="262"/>
      <c r="T78" s="262"/>
      <c r="U78" s="262"/>
      <c r="V78" s="262"/>
      <c r="W78" s="262"/>
      <c r="X78" s="288"/>
      <c r="Y78" s="288"/>
      <c r="Z78" s="160">
        <f t="shared" si="4"/>
        <v>0</v>
      </c>
      <c r="AA78" s="5">
        <f t="shared" si="5"/>
        <v>0</v>
      </c>
    </row>
    <row r="79" spans="1:27" ht="15.75" customHeight="1">
      <c r="A79" s="108">
        <v>71</v>
      </c>
      <c r="B79" s="103" t="s">
        <v>139</v>
      </c>
      <c r="C79" s="112" t="s">
        <v>83</v>
      </c>
      <c r="D79" s="156"/>
      <c r="E79" s="156"/>
      <c r="F79" s="221"/>
      <c r="G79" s="284"/>
      <c r="H79" s="284"/>
      <c r="I79" s="284"/>
      <c r="J79" s="284"/>
      <c r="K79" s="284"/>
      <c r="L79" s="284"/>
      <c r="M79" s="284"/>
      <c r="N79" s="284"/>
      <c r="O79" s="284"/>
      <c r="P79" s="262"/>
      <c r="Q79" s="262"/>
      <c r="R79" s="262"/>
      <c r="S79" s="262"/>
      <c r="T79" s="262"/>
      <c r="U79" s="262"/>
      <c r="V79" s="262"/>
      <c r="W79" s="262"/>
      <c r="X79" s="288"/>
      <c r="Y79" s="288"/>
      <c r="Z79" s="160">
        <f t="shared" si="4"/>
        <v>0</v>
      </c>
      <c r="AA79" s="5">
        <f t="shared" si="5"/>
        <v>0</v>
      </c>
    </row>
    <row r="80" spans="1:27" ht="15.75" customHeight="1">
      <c r="A80" s="428">
        <v>72</v>
      </c>
      <c r="B80" s="56" t="s">
        <v>130</v>
      </c>
      <c r="C80" s="57" t="s">
        <v>5</v>
      </c>
      <c r="D80" s="79"/>
      <c r="E80" s="79"/>
      <c r="F80" s="194" t="s">
        <v>461</v>
      </c>
      <c r="G80" s="314">
        <v>1</v>
      </c>
      <c r="H80" s="314">
        <v>1</v>
      </c>
      <c r="I80" s="48"/>
      <c r="J80" s="314">
        <v>1</v>
      </c>
      <c r="K80" s="314">
        <v>1</v>
      </c>
      <c r="L80" s="314">
        <v>1</v>
      </c>
      <c r="M80" s="314">
        <v>1</v>
      </c>
      <c r="N80" s="314">
        <v>1</v>
      </c>
      <c r="O80" s="314">
        <v>1</v>
      </c>
      <c r="P80" s="314">
        <v>1</v>
      </c>
      <c r="Q80" s="314">
        <v>0</v>
      </c>
      <c r="R80" s="314">
        <v>0</v>
      </c>
      <c r="S80" s="314">
        <v>0</v>
      </c>
      <c r="T80" s="314">
        <v>1</v>
      </c>
      <c r="U80" s="314">
        <v>1</v>
      </c>
      <c r="V80" s="314">
        <v>1</v>
      </c>
      <c r="W80" s="314">
        <v>1</v>
      </c>
      <c r="X80" s="315">
        <v>1</v>
      </c>
      <c r="Y80" s="315"/>
      <c r="Z80" s="160">
        <f t="shared" si="4"/>
        <v>14</v>
      </c>
      <c r="AA80" s="5">
        <f t="shared" si="5"/>
        <v>490</v>
      </c>
    </row>
    <row r="81" spans="1:27" ht="15.75" customHeight="1">
      <c r="A81" s="108">
        <v>73</v>
      </c>
      <c r="B81" s="56" t="s">
        <v>121</v>
      </c>
      <c r="C81" s="57" t="s">
        <v>26</v>
      </c>
      <c r="D81" s="67"/>
      <c r="E81" s="67"/>
      <c r="F81" s="89"/>
      <c r="G81" s="314">
        <v>1</v>
      </c>
      <c r="H81" s="314">
        <v>1</v>
      </c>
      <c r="I81" s="48"/>
      <c r="J81" s="314">
        <v>1</v>
      </c>
      <c r="K81" s="314">
        <v>1</v>
      </c>
      <c r="L81" s="48"/>
      <c r="M81" s="314">
        <v>1</v>
      </c>
      <c r="N81" s="314">
        <v>1</v>
      </c>
      <c r="O81" s="314">
        <v>1</v>
      </c>
      <c r="P81" s="314">
        <v>1</v>
      </c>
      <c r="Q81" s="314">
        <v>1</v>
      </c>
      <c r="R81" s="314">
        <v>1</v>
      </c>
      <c r="S81" s="314">
        <v>1</v>
      </c>
      <c r="T81" s="314">
        <v>1</v>
      </c>
      <c r="U81" s="314">
        <v>1</v>
      </c>
      <c r="V81" s="314">
        <v>1</v>
      </c>
      <c r="W81" s="314">
        <v>1</v>
      </c>
      <c r="X81" s="315">
        <v>1</v>
      </c>
      <c r="Y81" s="323"/>
      <c r="Z81" s="160">
        <f t="shared" si="4"/>
        <v>16</v>
      </c>
      <c r="AA81" s="5">
        <f t="shared" si="5"/>
        <v>560</v>
      </c>
    </row>
    <row r="82" spans="1:27" ht="15.75" customHeight="1">
      <c r="A82" s="428">
        <v>74</v>
      </c>
      <c r="B82" s="56" t="s">
        <v>184</v>
      </c>
      <c r="C82" s="57" t="s">
        <v>26</v>
      </c>
      <c r="D82" s="67"/>
      <c r="E82" s="67"/>
      <c r="F82" s="89"/>
      <c r="G82" s="316">
        <v>1</v>
      </c>
      <c r="H82" s="316">
        <v>1</v>
      </c>
      <c r="I82" s="48"/>
      <c r="J82" s="316">
        <v>1</v>
      </c>
      <c r="K82" s="316">
        <v>1</v>
      </c>
      <c r="L82" s="316">
        <v>1</v>
      </c>
      <c r="M82" s="316">
        <v>1</v>
      </c>
      <c r="N82" s="316">
        <v>1</v>
      </c>
      <c r="O82" s="316">
        <v>1</v>
      </c>
      <c r="P82" s="316">
        <v>1</v>
      </c>
      <c r="Q82" s="316">
        <v>1</v>
      </c>
      <c r="R82" s="316">
        <v>1</v>
      </c>
      <c r="S82" s="316">
        <v>1</v>
      </c>
      <c r="T82" s="316">
        <v>1</v>
      </c>
      <c r="U82" s="316">
        <v>1</v>
      </c>
      <c r="V82" s="316">
        <v>1</v>
      </c>
      <c r="W82" s="316">
        <v>1</v>
      </c>
      <c r="X82" s="323">
        <v>1</v>
      </c>
      <c r="Y82" s="323"/>
      <c r="Z82" s="160">
        <f t="shared" si="4"/>
        <v>17</v>
      </c>
      <c r="AA82" s="5">
        <f t="shared" si="5"/>
        <v>595</v>
      </c>
    </row>
    <row r="83" spans="1:27" ht="15.75" customHeight="1">
      <c r="A83" s="108">
        <v>75</v>
      </c>
      <c r="B83" s="56" t="s">
        <v>185</v>
      </c>
      <c r="C83" s="57" t="s">
        <v>26</v>
      </c>
      <c r="D83" s="67"/>
      <c r="E83" s="67"/>
      <c r="F83" s="57"/>
      <c r="G83" s="314">
        <v>1</v>
      </c>
      <c r="H83" s="262"/>
      <c r="I83" s="262"/>
      <c r="J83" s="262"/>
      <c r="K83" s="316">
        <v>1</v>
      </c>
      <c r="L83" s="262"/>
      <c r="M83" s="262"/>
      <c r="N83" s="262"/>
      <c r="O83" s="316">
        <v>1</v>
      </c>
      <c r="P83" s="262"/>
      <c r="Q83" s="262"/>
      <c r="R83" s="262"/>
      <c r="S83" s="316">
        <v>1</v>
      </c>
      <c r="T83" s="316">
        <v>1</v>
      </c>
      <c r="U83" s="262"/>
      <c r="V83" s="262"/>
      <c r="W83" s="262"/>
      <c r="X83" s="323">
        <v>1</v>
      </c>
      <c r="Y83" s="288"/>
      <c r="Z83" s="160">
        <f t="shared" si="4"/>
        <v>6</v>
      </c>
      <c r="AA83" s="5">
        <f t="shared" si="5"/>
        <v>210</v>
      </c>
    </row>
    <row r="84" spans="1:27" ht="15.75" customHeight="1">
      <c r="A84" s="428">
        <v>76</v>
      </c>
      <c r="B84" s="51" t="s">
        <v>6</v>
      </c>
      <c r="C84" s="60" t="s">
        <v>83</v>
      </c>
      <c r="D84" s="68"/>
      <c r="E84" s="68"/>
      <c r="F84" s="101"/>
      <c r="G84" s="314">
        <v>1</v>
      </c>
      <c r="H84" s="314">
        <v>1</v>
      </c>
      <c r="I84" s="314"/>
      <c r="J84" s="314">
        <v>1</v>
      </c>
      <c r="K84" s="314">
        <v>1</v>
      </c>
      <c r="L84" s="314">
        <v>1</v>
      </c>
      <c r="M84" s="314">
        <v>1</v>
      </c>
      <c r="N84" s="314">
        <v>1</v>
      </c>
      <c r="O84" s="314">
        <v>1</v>
      </c>
      <c r="P84" s="314">
        <v>1</v>
      </c>
      <c r="Q84" s="314">
        <v>1</v>
      </c>
      <c r="R84" s="314">
        <v>1</v>
      </c>
      <c r="S84" s="314">
        <v>1</v>
      </c>
      <c r="T84" s="314">
        <v>1</v>
      </c>
      <c r="U84" s="314">
        <v>1</v>
      </c>
      <c r="V84" s="314">
        <v>1</v>
      </c>
      <c r="W84" s="314">
        <v>1</v>
      </c>
      <c r="X84" s="315">
        <v>1</v>
      </c>
      <c r="Y84" s="315"/>
      <c r="Z84" s="160">
        <f t="shared" si="4"/>
        <v>17</v>
      </c>
      <c r="AA84" s="5">
        <f t="shared" si="5"/>
        <v>595</v>
      </c>
    </row>
    <row r="85" spans="1:27" ht="15.75" customHeight="1">
      <c r="A85" s="108">
        <v>77</v>
      </c>
      <c r="B85" s="56" t="s">
        <v>235</v>
      </c>
      <c r="C85" s="57" t="s">
        <v>26</v>
      </c>
      <c r="D85" s="68"/>
      <c r="E85" s="68"/>
      <c r="F85" s="57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88"/>
      <c r="Y85" s="288"/>
      <c r="Z85" s="160">
        <f t="shared" si="4"/>
        <v>0</v>
      </c>
      <c r="AA85" s="5">
        <f t="shared" si="5"/>
        <v>0</v>
      </c>
    </row>
    <row r="86" spans="1:27" ht="15.75" customHeight="1">
      <c r="A86" s="428">
        <v>78</v>
      </c>
      <c r="B86" s="56" t="s">
        <v>540</v>
      </c>
      <c r="C86" s="57" t="s">
        <v>26</v>
      </c>
      <c r="D86" s="68"/>
      <c r="E86" s="68"/>
      <c r="F86" s="101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88"/>
      <c r="Y86" s="288"/>
      <c r="Z86" s="160">
        <f t="shared" si="4"/>
        <v>0</v>
      </c>
      <c r="AA86" s="5">
        <f t="shared" si="5"/>
        <v>0</v>
      </c>
    </row>
    <row r="87" spans="1:27" ht="15.75" customHeight="1">
      <c r="A87" s="108">
        <v>79</v>
      </c>
      <c r="B87" s="56" t="s">
        <v>651</v>
      </c>
      <c r="C87" s="57" t="s">
        <v>5</v>
      </c>
      <c r="D87" s="68"/>
      <c r="E87" s="68"/>
      <c r="F87" s="191" t="s">
        <v>652</v>
      </c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88"/>
      <c r="Y87" s="288"/>
      <c r="Z87" s="160">
        <f t="shared" si="4"/>
        <v>0</v>
      </c>
      <c r="AA87" s="5">
        <f t="shared" si="5"/>
        <v>0</v>
      </c>
    </row>
    <row r="88" spans="1:27" ht="15.75" customHeight="1">
      <c r="A88" s="428">
        <v>80</v>
      </c>
      <c r="B88" s="56" t="s">
        <v>542</v>
      </c>
      <c r="C88" s="57" t="s">
        <v>83</v>
      </c>
      <c r="D88" s="68"/>
      <c r="E88" s="68"/>
      <c r="F88" s="101"/>
      <c r="G88" s="262"/>
      <c r="H88" s="262"/>
      <c r="I88" s="262"/>
      <c r="J88" s="262"/>
      <c r="K88" s="262"/>
      <c r="L88" s="262"/>
      <c r="M88" s="262"/>
      <c r="N88" s="314">
        <v>1</v>
      </c>
      <c r="O88" s="262"/>
      <c r="P88" s="314">
        <v>1</v>
      </c>
      <c r="Q88" s="262"/>
      <c r="R88" s="262"/>
      <c r="S88" s="262"/>
      <c r="T88" s="262"/>
      <c r="U88" s="262"/>
      <c r="V88" s="262"/>
      <c r="W88" s="262"/>
      <c r="X88" s="288"/>
      <c r="Y88" s="288"/>
      <c r="Z88" s="160">
        <f t="shared" si="4"/>
        <v>2</v>
      </c>
      <c r="AA88" s="5">
        <f t="shared" si="5"/>
        <v>70</v>
      </c>
    </row>
    <row r="89" spans="1:27" ht="15.75" customHeight="1">
      <c r="A89" s="108">
        <v>81</v>
      </c>
      <c r="B89" s="56" t="s">
        <v>224</v>
      </c>
      <c r="C89" s="57" t="s">
        <v>83</v>
      </c>
      <c r="D89" s="68"/>
      <c r="E89" s="68"/>
      <c r="F89" s="101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88"/>
      <c r="Y89" s="288"/>
      <c r="Z89" s="160">
        <f t="shared" si="4"/>
        <v>0</v>
      </c>
      <c r="AA89" s="5">
        <f t="shared" si="5"/>
        <v>0</v>
      </c>
    </row>
    <row r="90" spans="1:27" ht="15.75" customHeight="1">
      <c r="A90" s="428">
        <v>82</v>
      </c>
      <c r="B90" s="2" t="s">
        <v>100</v>
      </c>
      <c r="C90" s="57" t="s">
        <v>26</v>
      </c>
      <c r="D90" s="68"/>
      <c r="E90" s="68"/>
      <c r="F90" s="130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88"/>
      <c r="Y90" s="288"/>
      <c r="Z90" s="160">
        <f t="shared" si="4"/>
        <v>0</v>
      </c>
      <c r="AA90" s="5">
        <f t="shared" si="5"/>
        <v>0</v>
      </c>
    </row>
    <row r="91" spans="1:27" ht="15.75" customHeight="1">
      <c r="A91" s="108">
        <v>83</v>
      </c>
      <c r="B91" s="2" t="s">
        <v>646</v>
      </c>
      <c r="C91" s="57" t="s">
        <v>26</v>
      </c>
      <c r="D91" s="68"/>
      <c r="E91" s="68"/>
      <c r="F91" s="210"/>
      <c r="G91" s="262"/>
      <c r="H91" s="262"/>
      <c r="I91" s="262"/>
      <c r="J91" s="262"/>
      <c r="K91" s="262"/>
      <c r="L91" s="262"/>
      <c r="M91" s="262"/>
      <c r="N91" s="262"/>
      <c r="O91" s="316">
        <v>1</v>
      </c>
      <c r="P91" s="262"/>
      <c r="Q91" s="262"/>
      <c r="R91" s="262"/>
      <c r="S91" s="262"/>
      <c r="T91" s="262"/>
      <c r="U91" s="262"/>
      <c r="V91" s="262"/>
      <c r="W91" s="262"/>
      <c r="X91" s="288"/>
      <c r="Y91" s="288"/>
      <c r="Z91" s="160">
        <f t="shared" si="4"/>
        <v>1</v>
      </c>
      <c r="AA91" s="5">
        <f t="shared" si="5"/>
        <v>35</v>
      </c>
    </row>
    <row r="92" spans="1:27" ht="15.75" customHeight="1">
      <c r="A92" s="428">
        <v>84</v>
      </c>
      <c r="B92" s="56" t="s">
        <v>97</v>
      </c>
      <c r="C92" s="57" t="s">
        <v>83</v>
      </c>
      <c r="D92" s="67"/>
      <c r="E92" s="67"/>
      <c r="F92" s="101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88"/>
      <c r="Y92" s="288"/>
      <c r="Z92" s="160">
        <f t="shared" si="4"/>
        <v>0</v>
      </c>
      <c r="AA92" s="5">
        <f t="shared" si="5"/>
        <v>0</v>
      </c>
    </row>
    <row r="93" spans="1:27" ht="15.75" customHeight="1">
      <c r="A93" s="108">
        <v>85</v>
      </c>
      <c r="B93" s="56" t="s">
        <v>137</v>
      </c>
      <c r="C93" s="57" t="s">
        <v>5</v>
      </c>
      <c r="D93" s="79"/>
      <c r="E93" s="79"/>
      <c r="F93" s="194" t="s">
        <v>461</v>
      </c>
      <c r="G93" s="314">
        <v>1</v>
      </c>
      <c r="H93" s="314">
        <v>1</v>
      </c>
      <c r="I93" s="314"/>
      <c r="J93" s="314">
        <v>1</v>
      </c>
      <c r="K93" s="314">
        <v>1</v>
      </c>
      <c r="L93" s="314">
        <v>1</v>
      </c>
      <c r="M93" s="314">
        <v>1</v>
      </c>
      <c r="N93" s="314">
        <v>1</v>
      </c>
      <c r="O93" s="314">
        <v>1</v>
      </c>
      <c r="P93" s="314">
        <v>0</v>
      </c>
      <c r="Q93" s="314">
        <v>0</v>
      </c>
      <c r="R93" s="314">
        <v>0</v>
      </c>
      <c r="S93" s="314">
        <v>0</v>
      </c>
      <c r="T93" s="314">
        <v>1</v>
      </c>
      <c r="U93" s="314">
        <v>1</v>
      </c>
      <c r="V93" s="314">
        <v>1</v>
      </c>
      <c r="W93" s="314">
        <v>1</v>
      </c>
      <c r="X93" s="315">
        <v>1</v>
      </c>
      <c r="Y93" s="315"/>
      <c r="Z93" s="160">
        <f t="shared" si="4"/>
        <v>13</v>
      </c>
      <c r="AA93" s="5">
        <f t="shared" si="5"/>
        <v>455</v>
      </c>
    </row>
    <row r="94" spans="1:27" ht="15.75" customHeight="1">
      <c r="A94" s="428">
        <v>86</v>
      </c>
      <c r="B94" s="56" t="s">
        <v>543</v>
      </c>
      <c r="C94" s="57" t="s">
        <v>83</v>
      </c>
      <c r="D94" s="67"/>
      <c r="E94" s="67"/>
      <c r="F94" s="101"/>
      <c r="G94" s="314">
        <v>1</v>
      </c>
      <c r="H94" s="314">
        <v>1</v>
      </c>
      <c r="I94" s="262"/>
      <c r="J94" s="314">
        <v>1</v>
      </c>
      <c r="K94" s="262"/>
      <c r="L94" s="262"/>
      <c r="M94" s="262"/>
      <c r="N94" s="314">
        <v>1</v>
      </c>
      <c r="O94" s="314">
        <v>1</v>
      </c>
      <c r="P94" s="314">
        <v>1</v>
      </c>
      <c r="Q94" s="314">
        <v>1</v>
      </c>
      <c r="R94" s="314">
        <v>1</v>
      </c>
      <c r="S94" s="314">
        <v>1</v>
      </c>
      <c r="T94" s="314">
        <v>1</v>
      </c>
      <c r="U94" s="314">
        <v>1</v>
      </c>
      <c r="V94" s="262"/>
      <c r="W94" s="314">
        <v>1</v>
      </c>
      <c r="X94" s="315">
        <v>1</v>
      </c>
      <c r="Y94" s="288"/>
      <c r="Z94" s="160">
        <f t="shared" si="4"/>
        <v>13</v>
      </c>
      <c r="AA94" s="5">
        <f t="shared" si="5"/>
        <v>455</v>
      </c>
    </row>
    <row r="95" spans="1:27" ht="15.75" customHeight="1">
      <c r="A95" s="108">
        <v>87</v>
      </c>
      <c r="B95" s="56" t="s">
        <v>555</v>
      </c>
      <c r="C95" s="57" t="s">
        <v>26</v>
      </c>
      <c r="D95" s="67"/>
      <c r="E95" s="67"/>
      <c r="F95" s="101"/>
      <c r="G95" s="314">
        <v>1</v>
      </c>
      <c r="H95" s="48"/>
      <c r="I95" s="48"/>
      <c r="J95" s="314">
        <v>1</v>
      </c>
      <c r="K95" s="314">
        <v>1</v>
      </c>
      <c r="L95" s="314">
        <v>1</v>
      </c>
      <c r="M95" s="314">
        <v>1</v>
      </c>
      <c r="N95" s="314">
        <v>1</v>
      </c>
      <c r="O95" s="314">
        <v>1</v>
      </c>
      <c r="P95" s="314">
        <v>1</v>
      </c>
      <c r="Q95" s="314">
        <v>1</v>
      </c>
      <c r="R95" s="314">
        <v>1</v>
      </c>
      <c r="S95" s="314">
        <v>1</v>
      </c>
      <c r="T95" s="314">
        <v>1</v>
      </c>
      <c r="U95" s="48"/>
      <c r="V95" s="48"/>
      <c r="W95" s="48"/>
      <c r="X95" s="369"/>
      <c r="Y95" s="369"/>
      <c r="Z95" s="160">
        <f t="shared" si="4"/>
        <v>12</v>
      </c>
      <c r="AA95" s="5">
        <f t="shared" si="5"/>
        <v>420</v>
      </c>
    </row>
    <row r="96" spans="1:27" ht="15.75" customHeight="1">
      <c r="A96" s="428">
        <v>88</v>
      </c>
      <c r="B96" s="56" t="s">
        <v>23</v>
      </c>
      <c r="C96" s="57" t="s">
        <v>83</v>
      </c>
      <c r="D96" s="67"/>
      <c r="E96" s="67"/>
      <c r="F96" s="101"/>
      <c r="G96" s="314">
        <v>1</v>
      </c>
      <c r="H96" s="314">
        <v>1</v>
      </c>
      <c r="I96" s="48"/>
      <c r="J96" s="314">
        <v>1</v>
      </c>
      <c r="K96" s="314">
        <v>1</v>
      </c>
      <c r="L96" s="314">
        <v>1</v>
      </c>
      <c r="M96" s="314">
        <v>1</v>
      </c>
      <c r="N96" s="314">
        <v>1</v>
      </c>
      <c r="O96" s="314">
        <v>1</v>
      </c>
      <c r="P96" s="314">
        <v>1</v>
      </c>
      <c r="Q96" s="314">
        <v>1</v>
      </c>
      <c r="R96" s="314">
        <v>1</v>
      </c>
      <c r="S96" s="314">
        <v>1</v>
      </c>
      <c r="T96" s="314">
        <v>1</v>
      </c>
      <c r="U96" s="314">
        <v>1</v>
      </c>
      <c r="V96" s="314">
        <v>1</v>
      </c>
      <c r="W96" s="314">
        <v>1</v>
      </c>
      <c r="X96" s="315">
        <v>1</v>
      </c>
      <c r="Y96" s="369"/>
      <c r="Z96" s="160">
        <f t="shared" si="4"/>
        <v>17</v>
      </c>
      <c r="AA96" s="5">
        <f t="shared" si="5"/>
        <v>595</v>
      </c>
    </row>
    <row r="97" spans="1:47" ht="15.75" customHeight="1">
      <c r="A97" s="108">
        <v>89</v>
      </c>
      <c r="B97" s="56" t="s">
        <v>602</v>
      </c>
      <c r="C97" s="57" t="s">
        <v>615</v>
      </c>
      <c r="D97" s="67"/>
      <c r="E97" s="67"/>
      <c r="F97" s="101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88"/>
      <c r="Y97" s="288"/>
      <c r="Z97" s="160">
        <f t="shared" si="4"/>
        <v>0</v>
      </c>
      <c r="AA97" s="5">
        <f t="shared" si="5"/>
        <v>0</v>
      </c>
    </row>
    <row r="98" spans="1:47" ht="15.75" customHeight="1">
      <c r="A98" s="428">
        <v>90</v>
      </c>
      <c r="B98" s="56" t="s">
        <v>443</v>
      </c>
      <c r="C98" s="57" t="s">
        <v>5</v>
      </c>
      <c r="D98" s="68"/>
      <c r="E98" s="68"/>
      <c r="F98" s="86"/>
      <c r="G98" s="262"/>
      <c r="H98" s="262"/>
      <c r="I98" s="262"/>
      <c r="J98" s="314">
        <v>1</v>
      </c>
      <c r="K98" s="262"/>
      <c r="L98" s="262"/>
      <c r="M98" s="314">
        <v>1</v>
      </c>
      <c r="N98" s="262"/>
      <c r="O98" s="262"/>
      <c r="P98" s="262"/>
      <c r="Q98" s="262"/>
      <c r="R98" s="262"/>
      <c r="S98" s="262"/>
      <c r="T98" s="262"/>
      <c r="U98" s="262"/>
      <c r="V98" s="262"/>
      <c r="W98" s="314">
        <v>1</v>
      </c>
      <c r="X98" s="288"/>
      <c r="Y98" s="288"/>
      <c r="Z98" s="160">
        <f t="shared" si="4"/>
        <v>3</v>
      </c>
      <c r="AA98" s="5">
        <f t="shared" si="5"/>
        <v>105</v>
      </c>
      <c r="AB98" s="12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</row>
    <row r="99" spans="1:47" ht="15.75" customHeight="1">
      <c r="A99" s="108">
        <v>91</v>
      </c>
      <c r="B99" s="56" t="s">
        <v>223</v>
      </c>
      <c r="C99" s="57" t="s">
        <v>83</v>
      </c>
      <c r="D99" s="67"/>
      <c r="E99" s="67"/>
      <c r="F99" s="89"/>
      <c r="G99" s="314">
        <v>1</v>
      </c>
      <c r="H99" s="314">
        <v>1</v>
      </c>
      <c r="I99" s="314">
        <v>1</v>
      </c>
      <c r="J99" s="262"/>
      <c r="K99" s="262"/>
      <c r="L99" s="262"/>
      <c r="M99" s="262"/>
      <c r="N99" s="262"/>
      <c r="O99" s="262"/>
      <c r="P99" s="314">
        <v>1</v>
      </c>
      <c r="Q99" s="314">
        <v>1</v>
      </c>
      <c r="R99" s="314">
        <v>1</v>
      </c>
      <c r="S99" s="314">
        <v>1</v>
      </c>
      <c r="T99" s="314">
        <v>1</v>
      </c>
      <c r="U99" s="314">
        <v>1</v>
      </c>
      <c r="V99" s="314">
        <v>1</v>
      </c>
      <c r="W99" s="314">
        <v>1</v>
      </c>
      <c r="X99" s="315">
        <v>1</v>
      </c>
      <c r="Y99" s="315"/>
      <c r="Z99" s="160">
        <f t="shared" si="4"/>
        <v>12</v>
      </c>
      <c r="AA99" s="5">
        <f t="shared" si="5"/>
        <v>420</v>
      </c>
    </row>
    <row r="100" spans="1:47" ht="15.75" customHeight="1">
      <c r="A100" s="428">
        <v>92</v>
      </c>
      <c r="B100" s="56" t="s">
        <v>659</v>
      </c>
      <c r="C100" s="57" t="s">
        <v>550</v>
      </c>
      <c r="D100" s="67"/>
      <c r="E100" s="67"/>
      <c r="F100" s="89"/>
      <c r="G100" s="262"/>
      <c r="H100" s="262"/>
      <c r="I100" s="262"/>
      <c r="J100" s="316">
        <v>1</v>
      </c>
      <c r="K100" s="262"/>
      <c r="L100" s="262"/>
      <c r="M100" s="262"/>
      <c r="N100" s="262"/>
      <c r="O100" s="316">
        <v>1</v>
      </c>
      <c r="P100" s="262"/>
      <c r="Q100" s="262"/>
      <c r="R100" s="262"/>
      <c r="S100" s="262"/>
      <c r="T100" s="262"/>
      <c r="U100" s="316">
        <v>1</v>
      </c>
      <c r="V100" s="262"/>
      <c r="W100" s="262"/>
      <c r="X100" s="288"/>
      <c r="Y100" s="288"/>
      <c r="Z100" s="160">
        <f t="shared" si="4"/>
        <v>3</v>
      </c>
      <c r="AA100" s="5">
        <f t="shared" si="5"/>
        <v>105</v>
      </c>
    </row>
    <row r="101" spans="1:47" ht="15.75" customHeight="1">
      <c r="A101" s="108">
        <v>93</v>
      </c>
      <c r="B101" s="56" t="s">
        <v>131</v>
      </c>
      <c r="C101" s="57" t="s">
        <v>5</v>
      </c>
      <c r="D101" s="68"/>
      <c r="E101" s="68"/>
      <c r="F101" s="50"/>
      <c r="G101" s="314">
        <v>1</v>
      </c>
      <c r="H101" s="314">
        <v>1</v>
      </c>
      <c r="I101" s="48"/>
      <c r="J101" s="314">
        <v>1</v>
      </c>
      <c r="K101" s="314">
        <v>1</v>
      </c>
      <c r="L101" s="314">
        <v>1</v>
      </c>
      <c r="M101" s="314">
        <v>1</v>
      </c>
      <c r="N101" s="314">
        <v>1</v>
      </c>
      <c r="O101" s="314">
        <v>1</v>
      </c>
      <c r="P101" s="314">
        <v>1</v>
      </c>
      <c r="Q101" s="314">
        <v>1</v>
      </c>
      <c r="R101" s="314">
        <v>1</v>
      </c>
      <c r="S101" s="314">
        <v>1</v>
      </c>
      <c r="T101" s="314">
        <v>1</v>
      </c>
      <c r="U101" s="314">
        <v>1</v>
      </c>
      <c r="V101" s="314">
        <v>1</v>
      </c>
      <c r="W101" s="314">
        <v>1</v>
      </c>
      <c r="X101" s="315">
        <v>1</v>
      </c>
      <c r="Y101" s="315"/>
      <c r="Z101" s="160">
        <f t="shared" si="4"/>
        <v>17</v>
      </c>
      <c r="AA101" s="5">
        <f t="shared" si="5"/>
        <v>595</v>
      </c>
      <c r="AB101" s="12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</row>
    <row r="102" spans="1:47" ht="15.75" customHeight="1">
      <c r="A102" s="428">
        <v>94</v>
      </c>
      <c r="B102" s="56" t="s">
        <v>22</v>
      </c>
      <c r="C102" s="57" t="s">
        <v>83</v>
      </c>
      <c r="D102" s="67"/>
      <c r="E102" s="75"/>
      <c r="F102" s="64"/>
      <c r="G102" s="48"/>
      <c r="H102" s="314">
        <v>1</v>
      </c>
      <c r="I102" s="48"/>
      <c r="J102" s="314">
        <v>1</v>
      </c>
      <c r="K102" s="314">
        <v>1</v>
      </c>
      <c r="L102" s="314">
        <v>1</v>
      </c>
      <c r="M102" s="314">
        <v>1</v>
      </c>
      <c r="N102" s="314">
        <v>1</v>
      </c>
      <c r="O102" s="314">
        <v>1</v>
      </c>
      <c r="P102" s="314">
        <v>1</v>
      </c>
      <c r="Q102" s="314">
        <v>1</v>
      </c>
      <c r="R102" s="314">
        <v>1</v>
      </c>
      <c r="S102" s="314">
        <v>1</v>
      </c>
      <c r="T102" s="314">
        <v>1</v>
      </c>
      <c r="U102" s="314">
        <v>1</v>
      </c>
      <c r="V102" s="314">
        <v>1</v>
      </c>
      <c r="W102" s="314">
        <v>1</v>
      </c>
      <c r="X102" s="315">
        <v>1</v>
      </c>
      <c r="Y102" s="323"/>
      <c r="Z102" s="160">
        <f t="shared" si="4"/>
        <v>16</v>
      </c>
      <c r="AA102" s="5">
        <f t="shared" si="5"/>
        <v>560</v>
      </c>
    </row>
    <row r="103" spans="1:47" ht="15.75" customHeight="1">
      <c r="A103" s="108">
        <v>95</v>
      </c>
      <c r="B103" s="56" t="s">
        <v>597</v>
      </c>
      <c r="C103" s="57"/>
      <c r="D103" s="67"/>
      <c r="E103" s="75"/>
      <c r="F103" s="101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88"/>
      <c r="Y103" s="288"/>
      <c r="Z103" s="160">
        <f t="shared" si="4"/>
        <v>0</v>
      </c>
      <c r="AA103" s="5">
        <f t="shared" si="5"/>
        <v>0</v>
      </c>
    </row>
    <row r="104" spans="1:47" ht="15.75" customHeight="1">
      <c r="A104" s="428">
        <v>96</v>
      </c>
      <c r="B104" s="56" t="s">
        <v>79</v>
      </c>
      <c r="C104" s="57" t="s">
        <v>26</v>
      </c>
      <c r="D104" s="67"/>
      <c r="E104" s="67"/>
      <c r="F104" s="217" t="s">
        <v>663</v>
      </c>
      <c r="G104" s="351">
        <v>0</v>
      </c>
      <c r="H104" s="351">
        <v>0</v>
      </c>
      <c r="I104" s="48"/>
      <c r="J104" s="351">
        <v>0</v>
      </c>
      <c r="K104" s="351">
        <v>0</v>
      </c>
      <c r="L104" s="351">
        <v>0</v>
      </c>
      <c r="M104" s="351">
        <v>0</v>
      </c>
      <c r="N104" s="351">
        <v>0</v>
      </c>
      <c r="O104" s="351">
        <v>0</v>
      </c>
      <c r="P104" s="351">
        <v>0</v>
      </c>
      <c r="Q104" s="351">
        <v>0</v>
      </c>
      <c r="R104" s="351">
        <v>0</v>
      </c>
      <c r="S104" s="351">
        <v>0</v>
      </c>
      <c r="T104" s="351">
        <v>0</v>
      </c>
      <c r="U104" s="351">
        <v>0</v>
      </c>
      <c r="V104" s="351">
        <v>0</v>
      </c>
      <c r="W104" s="351">
        <v>0</v>
      </c>
      <c r="X104" s="352">
        <v>0</v>
      </c>
      <c r="Y104" s="352"/>
      <c r="Z104" s="160">
        <f t="shared" si="4"/>
        <v>0</v>
      </c>
      <c r="AA104" s="5">
        <f t="shared" si="5"/>
        <v>0</v>
      </c>
    </row>
    <row r="105" spans="1:47" ht="15.75" customHeight="1">
      <c r="A105" s="108">
        <v>97</v>
      </c>
      <c r="B105" s="56" t="s">
        <v>668</v>
      </c>
      <c r="C105" s="57" t="s">
        <v>26</v>
      </c>
      <c r="D105" s="67"/>
      <c r="E105" s="67"/>
      <c r="F105" s="101"/>
      <c r="G105" s="262"/>
      <c r="H105" s="314">
        <v>1</v>
      </c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314">
        <v>1</v>
      </c>
      <c r="T105" s="262"/>
      <c r="U105" s="262"/>
      <c r="V105" s="262"/>
      <c r="W105" s="262"/>
      <c r="X105" s="288"/>
      <c r="Y105" s="288"/>
      <c r="Z105" s="160">
        <f t="shared" si="4"/>
        <v>2</v>
      </c>
      <c r="AA105" s="5">
        <f t="shared" si="5"/>
        <v>70</v>
      </c>
    </row>
    <row r="106" spans="1:47" ht="15.75" customHeight="1">
      <c r="A106" s="428">
        <v>98</v>
      </c>
      <c r="B106" s="56" t="s">
        <v>226</v>
      </c>
      <c r="C106" s="57" t="s">
        <v>5</v>
      </c>
      <c r="D106" s="68"/>
      <c r="E106" s="68"/>
      <c r="F106" s="139" t="s">
        <v>461</v>
      </c>
      <c r="G106" s="314">
        <v>1</v>
      </c>
      <c r="H106" s="314">
        <v>1</v>
      </c>
      <c r="I106" s="48"/>
      <c r="J106" s="314">
        <v>1</v>
      </c>
      <c r="K106" s="314">
        <v>1</v>
      </c>
      <c r="L106" s="314">
        <v>1</v>
      </c>
      <c r="M106" s="314">
        <v>1</v>
      </c>
      <c r="N106" s="314">
        <v>1</v>
      </c>
      <c r="O106" s="314">
        <v>1</v>
      </c>
      <c r="P106" s="314">
        <v>1</v>
      </c>
      <c r="Q106" s="314">
        <v>1</v>
      </c>
      <c r="R106" s="314">
        <v>1</v>
      </c>
      <c r="S106" s="314">
        <v>1</v>
      </c>
      <c r="T106" s="314">
        <v>1</v>
      </c>
      <c r="U106" s="314">
        <v>1</v>
      </c>
      <c r="V106" s="314">
        <v>1</v>
      </c>
      <c r="W106" s="314">
        <v>1</v>
      </c>
      <c r="X106" s="315">
        <v>1</v>
      </c>
      <c r="Y106" s="369"/>
      <c r="Z106" s="160">
        <f t="shared" si="4"/>
        <v>17</v>
      </c>
      <c r="AA106" s="5">
        <f t="shared" si="5"/>
        <v>595</v>
      </c>
      <c r="AB106" s="12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</row>
    <row r="107" spans="1:47" ht="15.75" customHeight="1">
      <c r="A107" s="108">
        <v>99</v>
      </c>
      <c r="B107" s="56" t="s">
        <v>446</v>
      </c>
      <c r="C107" s="57" t="s">
        <v>5</v>
      </c>
      <c r="D107" s="68"/>
      <c r="E107" s="68"/>
      <c r="F107" s="50"/>
      <c r="G107" s="262"/>
      <c r="H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88"/>
      <c r="Y107" s="288"/>
      <c r="Z107" s="160">
        <f t="shared" si="4"/>
        <v>0</v>
      </c>
      <c r="AA107" s="5">
        <f t="shared" si="5"/>
        <v>0</v>
      </c>
      <c r="AB107" s="12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</row>
    <row r="108" spans="1:47" ht="15.75" customHeight="1">
      <c r="A108" s="428">
        <v>100</v>
      </c>
      <c r="B108" s="56" t="s">
        <v>447</v>
      </c>
      <c r="C108" s="57" t="s">
        <v>5</v>
      </c>
      <c r="D108" s="68"/>
      <c r="E108" s="68"/>
      <c r="F108" s="50"/>
      <c r="G108" s="314">
        <v>1</v>
      </c>
      <c r="H108" s="314">
        <v>1</v>
      </c>
      <c r="I108" s="48"/>
      <c r="J108" s="314">
        <v>1</v>
      </c>
      <c r="K108" s="314">
        <v>1</v>
      </c>
      <c r="L108" s="314">
        <v>1</v>
      </c>
      <c r="M108" s="314">
        <v>1</v>
      </c>
      <c r="N108" s="314">
        <v>1</v>
      </c>
      <c r="O108" s="314">
        <v>1</v>
      </c>
      <c r="P108" s="314">
        <v>1</v>
      </c>
      <c r="Q108" s="262"/>
      <c r="R108" s="262"/>
      <c r="S108" s="316">
        <v>1</v>
      </c>
      <c r="T108" s="316">
        <v>1</v>
      </c>
      <c r="U108" s="316">
        <v>1</v>
      </c>
      <c r="V108" s="316">
        <v>1</v>
      </c>
      <c r="W108" s="316">
        <v>1</v>
      </c>
      <c r="X108" s="323">
        <v>1</v>
      </c>
      <c r="Y108" s="323"/>
      <c r="Z108" s="160">
        <f t="shared" si="4"/>
        <v>15</v>
      </c>
      <c r="AA108" s="5">
        <f t="shared" si="5"/>
        <v>525</v>
      </c>
      <c r="AB108" s="12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</row>
    <row r="109" spans="1:47" ht="15.75" customHeight="1">
      <c r="A109" s="108">
        <v>101</v>
      </c>
      <c r="B109" s="56" t="s">
        <v>188</v>
      </c>
      <c r="C109" s="57" t="s">
        <v>26</v>
      </c>
      <c r="D109" s="67"/>
      <c r="E109" s="67"/>
      <c r="F109" s="64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88"/>
      <c r="Y109" s="288"/>
      <c r="Z109" s="160">
        <f t="shared" si="4"/>
        <v>0</v>
      </c>
      <c r="AA109" s="5">
        <f t="shared" si="5"/>
        <v>0</v>
      </c>
    </row>
    <row r="110" spans="1:47" ht="15.75" customHeight="1">
      <c r="A110" s="428">
        <v>102</v>
      </c>
      <c r="B110" s="56" t="s">
        <v>241</v>
      </c>
      <c r="C110" s="57" t="s">
        <v>83</v>
      </c>
      <c r="D110" s="67"/>
      <c r="E110" s="67"/>
      <c r="F110" s="396" t="s">
        <v>778</v>
      </c>
      <c r="G110" s="316">
        <v>1</v>
      </c>
      <c r="H110" s="316">
        <v>1</v>
      </c>
      <c r="I110" s="48"/>
      <c r="J110" s="316">
        <v>1</v>
      </c>
      <c r="K110" s="316">
        <v>1</v>
      </c>
      <c r="L110" s="316">
        <v>1</v>
      </c>
      <c r="M110" s="316">
        <v>1</v>
      </c>
      <c r="N110" s="316">
        <v>1</v>
      </c>
      <c r="O110" s="316">
        <v>1</v>
      </c>
      <c r="P110" s="316">
        <v>1</v>
      </c>
      <c r="Q110" s="316">
        <v>1</v>
      </c>
      <c r="R110" s="316">
        <v>1</v>
      </c>
      <c r="S110" s="316">
        <v>1</v>
      </c>
      <c r="T110" s="316">
        <v>1</v>
      </c>
      <c r="U110" s="316">
        <v>1</v>
      </c>
      <c r="V110" s="316">
        <v>1</v>
      </c>
      <c r="W110" s="316">
        <v>1</v>
      </c>
      <c r="X110" s="323">
        <v>1</v>
      </c>
      <c r="Y110" s="323"/>
      <c r="Z110" s="160">
        <f t="shared" si="4"/>
        <v>17</v>
      </c>
      <c r="AA110" s="5">
        <f t="shared" si="5"/>
        <v>595</v>
      </c>
    </row>
    <row r="111" spans="1:47" ht="15.75" customHeight="1">
      <c r="A111" s="108">
        <v>103</v>
      </c>
      <c r="B111" s="56" t="s">
        <v>260</v>
      </c>
      <c r="C111" s="50" t="s">
        <v>5</v>
      </c>
      <c r="D111" s="68"/>
      <c r="E111" s="68"/>
      <c r="F111" s="50"/>
      <c r="G111" s="262"/>
      <c r="H111" s="262"/>
      <c r="I111" s="262"/>
      <c r="J111" s="262"/>
      <c r="K111" s="262"/>
      <c r="L111" s="314">
        <v>1</v>
      </c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88"/>
      <c r="Y111" s="288"/>
      <c r="Z111" s="160">
        <f t="shared" si="4"/>
        <v>1</v>
      </c>
      <c r="AA111" s="5">
        <f t="shared" si="5"/>
        <v>35</v>
      </c>
      <c r="AB111" s="12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</row>
    <row r="112" spans="1:47" ht="15.75" customHeight="1">
      <c r="A112" s="428">
        <v>104</v>
      </c>
      <c r="B112" s="56" t="s">
        <v>464</v>
      </c>
      <c r="C112" s="57" t="s">
        <v>26</v>
      </c>
      <c r="D112" s="67"/>
      <c r="E112" s="67"/>
      <c r="F112" s="89"/>
      <c r="G112" s="314">
        <v>1</v>
      </c>
      <c r="H112" s="314">
        <v>1</v>
      </c>
      <c r="I112" s="48"/>
      <c r="J112" s="314">
        <v>1</v>
      </c>
      <c r="K112" s="314">
        <v>1</v>
      </c>
      <c r="L112" s="314">
        <v>1</v>
      </c>
      <c r="M112" s="314">
        <v>1</v>
      </c>
      <c r="N112" s="314">
        <v>1</v>
      </c>
      <c r="O112" s="314">
        <v>1</v>
      </c>
      <c r="P112" s="314">
        <v>1</v>
      </c>
      <c r="Q112" s="314">
        <v>1</v>
      </c>
      <c r="R112" s="314">
        <v>1</v>
      </c>
      <c r="S112" s="314">
        <v>1</v>
      </c>
      <c r="T112" s="48"/>
      <c r="U112" s="48"/>
      <c r="V112" s="48"/>
      <c r="W112" s="48"/>
      <c r="X112" s="369"/>
      <c r="Y112" s="369"/>
      <c r="Z112" s="160">
        <f t="shared" si="4"/>
        <v>12</v>
      </c>
      <c r="AA112" s="5">
        <f t="shared" si="5"/>
        <v>420</v>
      </c>
    </row>
    <row r="113" spans="1:47" ht="15.75" customHeight="1">
      <c r="A113" s="108">
        <v>105</v>
      </c>
      <c r="B113" s="56" t="s">
        <v>78</v>
      </c>
      <c r="C113" s="57" t="s">
        <v>83</v>
      </c>
      <c r="D113" s="67"/>
      <c r="E113" s="67"/>
      <c r="F113" s="141" t="s">
        <v>461</v>
      </c>
      <c r="G113" s="314">
        <v>1</v>
      </c>
      <c r="H113" s="308">
        <v>1</v>
      </c>
      <c r="I113" s="314"/>
      <c r="J113" s="314">
        <v>1</v>
      </c>
      <c r="K113" s="314">
        <v>1</v>
      </c>
      <c r="L113" s="314">
        <v>1</v>
      </c>
      <c r="M113" s="314">
        <v>1</v>
      </c>
      <c r="N113" s="314">
        <v>1</v>
      </c>
      <c r="O113" s="314">
        <v>1</v>
      </c>
      <c r="P113" s="314">
        <v>1</v>
      </c>
      <c r="Q113" s="314">
        <v>1</v>
      </c>
      <c r="R113" s="314">
        <v>1</v>
      </c>
      <c r="S113" s="314">
        <v>1</v>
      </c>
      <c r="T113" s="314">
        <v>1</v>
      </c>
      <c r="U113" s="314">
        <v>1</v>
      </c>
      <c r="V113" s="314">
        <v>1</v>
      </c>
      <c r="W113" s="314">
        <v>1</v>
      </c>
      <c r="X113" s="315">
        <v>1</v>
      </c>
      <c r="Y113" s="315"/>
      <c r="Z113" s="160">
        <f t="shared" si="4"/>
        <v>17</v>
      </c>
      <c r="AA113" s="5">
        <f t="shared" si="5"/>
        <v>595</v>
      </c>
    </row>
    <row r="114" spans="1:47" ht="15.75" customHeight="1">
      <c r="A114" s="428">
        <v>106</v>
      </c>
      <c r="B114" s="56" t="s">
        <v>416</v>
      </c>
      <c r="C114" s="57" t="s">
        <v>83</v>
      </c>
      <c r="D114" s="68"/>
      <c r="E114" s="68"/>
      <c r="F114" s="55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88"/>
      <c r="Y114" s="288"/>
      <c r="Z114" s="160">
        <f t="shared" si="4"/>
        <v>0</v>
      </c>
      <c r="AA114" s="5">
        <f t="shared" si="5"/>
        <v>0</v>
      </c>
    </row>
    <row r="115" spans="1:47" ht="15.75" customHeight="1">
      <c r="A115" s="108">
        <v>107</v>
      </c>
      <c r="B115" s="56" t="s">
        <v>351</v>
      </c>
      <c r="C115" s="57" t="s">
        <v>26</v>
      </c>
      <c r="D115" s="68"/>
      <c r="E115" s="68"/>
      <c r="F115" s="132"/>
      <c r="G115" s="314">
        <v>1</v>
      </c>
      <c r="H115" s="314">
        <v>1</v>
      </c>
      <c r="I115" s="48"/>
      <c r="J115" s="314">
        <v>1</v>
      </c>
      <c r="K115" s="314">
        <v>1</v>
      </c>
      <c r="L115" s="314">
        <v>1</v>
      </c>
      <c r="M115" s="314">
        <v>1</v>
      </c>
      <c r="N115" s="314">
        <v>1</v>
      </c>
      <c r="O115" s="314">
        <v>1</v>
      </c>
      <c r="P115" s="314">
        <v>1</v>
      </c>
      <c r="Q115" s="314">
        <v>1</v>
      </c>
      <c r="R115" s="314">
        <v>1</v>
      </c>
      <c r="S115" s="314">
        <v>1</v>
      </c>
      <c r="T115" s="314">
        <v>1</v>
      </c>
      <c r="U115" s="314">
        <v>1</v>
      </c>
      <c r="V115" s="314">
        <v>1</v>
      </c>
      <c r="W115" s="314">
        <v>1</v>
      </c>
      <c r="X115" s="315">
        <v>1</v>
      </c>
      <c r="Y115" s="315"/>
      <c r="Z115" s="160">
        <f t="shared" si="4"/>
        <v>17</v>
      </c>
      <c r="AA115" s="5">
        <f t="shared" si="5"/>
        <v>595</v>
      </c>
    </row>
    <row r="116" spans="1:47" ht="15.75" customHeight="1">
      <c r="A116" s="428">
        <v>108</v>
      </c>
      <c r="B116" s="56" t="s">
        <v>527</v>
      </c>
      <c r="C116" s="57" t="s">
        <v>26</v>
      </c>
      <c r="D116" s="68"/>
      <c r="E116" s="68"/>
      <c r="F116" s="101"/>
      <c r="G116" s="314">
        <v>1</v>
      </c>
      <c r="H116" s="314">
        <v>1</v>
      </c>
      <c r="I116" s="48"/>
      <c r="J116" s="314">
        <v>1</v>
      </c>
      <c r="K116" s="314">
        <v>1</v>
      </c>
      <c r="L116" s="314">
        <v>1</v>
      </c>
      <c r="M116" s="314">
        <v>1</v>
      </c>
      <c r="N116" s="314">
        <v>1</v>
      </c>
      <c r="O116" s="314">
        <v>1</v>
      </c>
      <c r="P116" s="314">
        <v>1</v>
      </c>
      <c r="Q116" s="314">
        <v>1</v>
      </c>
      <c r="R116" s="314">
        <v>1</v>
      </c>
      <c r="S116" s="314">
        <v>1</v>
      </c>
      <c r="T116" s="314">
        <v>1</v>
      </c>
      <c r="U116" s="314">
        <v>1</v>
      </c>
      <c r="V116" s="314">
        <v>1</v>
      </c>
      <c r="W116" s="314">
        <v>1</v>
      </c>
      <c r="X116" s="315">
        <v>1</v>
      </c>
      <c r="Y116" s="323"/>
      <c r="Z116" s="160">
        <f t="shared" si="4"/>
        <v>17</v>
      </c>
      <c r="AA116" s="5">
        <f t="shared" si="5"/>
        <v>595</v>
      </c>
    </row>
    <row r="117" spans="1:47" ht="15.75" customHeight="1">
      <c r="A117" s="108">
        <v>109</v>
      </c>
      <c r="B117" s="56" t="s">
        <v>48</v>
      </c>
      <c r="C117" s="57" t="s">
        <v>83</v>
      </c>
      <c r="D117" s="67"/>
      <c r="E117" s="67"/>
      <c r="F117" s="64"/>
      <c r="G117" s="314">
        <v>1</v>
      </c>
      <c r="H117" s="314">
        <v>1</v>
      </c>
      <c r="I117" s="314"/>
      <c r="J117" s="314">
        <v>1</v>
      </c>
      <c r="K117" s="314">
        <v>1</v>
      </c>
      <c r="L117" s="314">
        <v>1</v>
      </c>
      <c r="M117" s="314">
        <v>1</v>
      </c>
      <c r="N117" s="314">
        <v>1</v>
      </c>
      <c r="O117" s="314">
        <v>1</v>
      </c>
      <c r="P117" s="314">
        <v>1</v>
      </c>
      <c r="Q117" s="314">
        <v>1</v>
      </c>
      <c r="R117" s="314">
        <v>1</v>
      </c>
      <c r="S117" s="314">
        <v>1</v>
      </c>
      <c r="T117" s="314">
        <v>1</v>
      </c>
      <c r="U117" s="314">
        <v>1</v>
      </c>
      <c r="V117" s="314">
        <v>1</v>
      </c>
      <c r="W117" s="314">
        <v>1</v>
      </c>
      <c r="X117" s="315">
        <v>1</v>
      </c>
      <c r="Y117" s="315"/>
      <c r="Z117" s="160">
        <f t="shared" si="4"/>
        <v>17</v>
      </c>
      <c r="AA117" s="5">
        <f t="shared" si="5"/>
        <v>595</v>
      </c>
    </row>
    <row r="118" spans="1:47" ht="15.75" customHeight="1">
      <c r="A118" s="428">
        <v>110</v>
      </c>
      <c r="B118" s="128" t="s">
        <v>73</v>
      </c>
      <c r="C118" s="63" t="s">
        <v>83</v>
      </c>
      <c r="D118" s="67"/>
      <c r="E118" s="69"/>
      <c r="F118" s="375" t="s">
        <v>754</v>
      </c>
      <c r="G118" s="314">
        <v>1</v>
      </c>
      <c r="H118" s="308">
        <v>1</v>
      </c>
      <c r="I118" s="314"/>
      <c r="J118" s="314">
        <v>1</v>
      </c>
      <c r="K118" s="314">
        <v>1</v>
      </c>
      <c r="L118" s="314">
        <v>1</v>
      </c>
      <c r="M118" s="314">
        <v>1</v>
      </c>
      <c r="N118" s="314">
        <v>1</v>
      </c>
      <c r="O118" s="314">
        <v>1</v>
      </c>
      <c r="P118" s="314">
        <v>1</v>
      </c>
      <c r="Q118" s="314">
        <v>1</v>
      </c>
      <c r="R118" s="314">
        <v>1</v>
      </c>
      <c r="S118" s="314">
        <v>1</v>
      </c>
      <c r="T118" s="314">
        <v>1</v>
      </c>
      <c r="U118" s="314">
        <v>1</v>
      </c>
      <c r="V118" s="314">
        <v>1</v>
      </c>
      <c r="W118" s="314">
        <v>1</v>
      </c>
      <c r="X118" s="315">
        <v>1</v>
      </c>
      <c r="Y118" s="315"/>
      <c r="Z118" s="160">
        <f t="shared" si="4"/>
        <v>17</v>
      </c>
      <c r="AA118" s="5">
        <f t="shared" si="5"/>
        <v>595</v>
      </c>
    </row>
    <row r="119" spans="1:47" ht="15.75" customHeight="1">
      <c r="A119" s="108">
        <v>111</v>
      </c>
      <c r="B119" s="56" t="s">
        <v>525</v>
      </c>
      <c r="C119" s="57" t="s">
        <v>5</v>
      </c>
      <c r="D119" s="68"/>
      <c r="E119" s="68"/>
      <c r="F119" s="50"/>
      <c r="G119" s="262"/>
      <c r="H119" s="262"/>
      <c r="I119" s="262"/>
      <c r="J119" s="262"/>
      <c r="K119" s="262"/>
      <c r="L119" s="262"/>
      <c r="M119" s="262"/>
      <c r="N119" s="262"/>
      <c r="O119" s="314">
        <v>1</v>
      </c>
      <c r="P119" s="262"/>
      <c r="Q119" s="262"/>
      <c r="R119" s="314">
        <v>1</v>
      </c>
      <c r="S119" s="262"/>
      <c r="T119" s="262"/>
      <c r="U119" s="262"/>
      <c r="V119" s="262"/>
      <c r="W119" s="262"/>
      <c r="X119" s="315">
        <v>1</v>
      </c>
      <c r="Y119" s="288"/>
      <c r="Z119" s="160">
        <f t="shared" si="4"/>
        <v>3</v>
      </c>
      <c r="AA119" s="5">
        <f t="shared" si="5"/>
        <v>105</v>
      </c>
      <c r="AB119" s="12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</row>
    <row r="120" spans="1:47" ht="15.75" customHeight="1">
      <c r="A120" s="428">
        <v>112</v>
      </c>
      <c r="B120" s="56" t="s">
        <v>524</v>
      </c>
      <c r="C120" s="57" t="s">
        <v>5</v>
      </c>
      <c r="D120" s="68"/>
      <c r="E120" s="68"/>
      <c r="F120" s="50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88"/>
      <c r="Y120" s="288"/>
      <c r="Z120" s="160">
        <f t="shared" si="4"/>
        <v>0</v>
      </c>
      <c r="AA120" s="5">
        <f t="shared" si="5"/>
        <v>0</v>
      </c>
      <c r="AB120" s="12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</row>
    <row r="121" spans="1:47" ht="15.75" customHeight="1">
      <c r="A121" s="108">
        <v>113</v>
      </c>
      <c r="B121" s="120" t="s">
        <v>417</v>
      </c>
      <c r="C121" s="135" t="s">
        <v>83</v>
      </c>
      <c r="D121" s="181"/>
      <c r="E121" s="181"/>
      <c r="F121" s="131"/>
      <c r="G121" s="356">
        <v>1</v>
      </c>
      <c r="H121" s="356">
        <v>1</v>
      </c>
      <c r="I121" s="361"/>
      <c r="J121" s="356">
        <v>1</v>
      </c>
      <c r="K121" s="356">
        <v>1</v>
      </c>
      <c r="L121" s="356">
        <v>1</v>
      </c>
      <c r="M121" s="356">
        <v>1</v>
      </c>
      <c r="N121" s="356">
        <v>1</v>
      </c>
      <c r="O121" s="356">
        <v>1</v>
      </c>
      <c r="P121" s="356">
        <v>1</v>
      </c>
      <c r="Q121" s="356">
        <v>1</v>
      </c>
      <c r="R121" s="356">
        <v>1</v>
      </c>
      <c r="S121" s="356">
        <v>1</v>
      </c>
      <c r="T121" s="356">
        <v>1</v>
      </c>
      <c r="U121" s="356">
        <v>1</v>
      </c>
      <c r="V121" s="356">
        <v>1</v>
      </c>
      <c r="W121" s="314">
        <v>1</v>
      </c>
      <c r="X121" s="315">
        <v>1</v>
      </c>
      <c r="Y121" s="315"/>
      <c r="Z121" s="160">
        <f t="shared" si="4"/>
        <v>17</v>
      </c>
      <c r="AA121" s="5">
        <f t="shared" si="5"/>
        <v>595</v>
      </c>
    </row>
    <row r="122" spans="1:47" ht="15.75" customHeight="1">
      <c r="A122" s="428">
        <v>114</v>
      </c>
      <c r="B122" s="180" t="s">
        <v>454</v>
      </c>
      <c r="C122" s="121" t="s">
        <v>5</v>
      </c>
      <c r="D122" s="152"/>
      <c r="E122" s="152"/>
      <c r="F122" s="211" t="s">
        <v>461</v>
      </c>
      <c r="G122" s="320">
        <v>1</v>
      </c>
      <c r="H122" s="320">
        <v>1</v>
      </c>
      <c r="I122" s="95"/>
      <c r="J122" s="320">
        <v>1</v>
      </c>
      <c r="K122" s="320">
        <v>1</v>
      </c>
      <c r="L122" s="320">
        <v>1</v>
      </c>
      <c r="M122" s="320">
        <v>1</v>
      </c>
      <c r="N122" s="320">
        <v>0</v>
      </c>
      <c r="O122" s="410">
        <v>1</v>
      </c>
      <c r="P122" s="320">
        <v>1</v>
      </c>
      <c r="Q122" s="320">
        <v>1</v>
      </c>
      <c r="R122" s="320">
        <v>1</v>
      </c>
      <c r="S122" s="320">
        <v>1</v>
      </c>
      <c r="T122" s="320">
        <v>1</v>
      </c>
      <c r="U122" s="320">
        <v>1</v>
      </c>
      <c r="V122" s="320">
        <v>1</v>
      </c>
      <c r="W122" s="315">
        <v>1</v>
      </c>
      <c r="X122" s="315">
        <v>1</v>
      </c>
      <c r="Y122" s="323"/>
      <c r="Z122" s="160">
        <f t="shared" si="4"/>
        <v>16</v>
      </c>
      <c r="AA122" s="5">
        <f t="shared" si="5"/>
        <v>560</v>
      </c>
      <c r="AB122" s="12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</row>
    <row r="123" spans="1:47" ht="15.75" customHeight="1">
      <c r="A123" s="108">
        <v>115</v>
      </c>
      <c r="B123" s="180" t="s">
        <v>639</v>
      </c>
      <c r="C123" s="121" t="s">
        <v>26</v>
      </c>
      <c r="D123" s="152"/>
      <c r="E123" s="152"/>
      <c r="F123" s="416" t="s">
        <v>794</v>
      </c>
      <c r="G123" s="322">
        <v>1</v>
      </c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369"/>
      <c r="X123" s="369"/>
      <c r="Y123" s="369"/>
      <c r="Z123" s="160">
        <f t="shared" si="4"/>
        <v>1</v>
      </c>
      <c r="AA123" s="5">
        <f t="shared" si="5"/>
        <v>35</v>
      </c>
      <c r="AB123" s="12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</row>
    <row r="124" spans="1:47" ht="15.75" customHeight="1">
      <c r="A124" s="428">
        <v>116</v>
      </c>
      <c r="B124" s="180" t="s">
        <v>687</v>
      </c>
      <c r="C124" s="121" t="s">
        <v>5</v>
      </c>
      <c r="D124" s="152"/>
      <c r="E124" s="152"/>
      <c r="F124" s="106"/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8"/>
      <c r="X124" s="288"/>
      <c r="Y124" s="288"/>
      <c r="Z124" s="160">
        <f t="shared" si="4"/>
        <v>0</v>
      </c>
      <c r="AA124" s="5">
        <f t="shared" si="5"/>
        <v>0</v>
      </c>
      <c r="AB124" s="12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</row>
    <row r="125" spans="1:47" ht="15.75" customHeight="1">
      <c r="A125" s="108">
        <v>117</v>
      </c>
      <c r="B125" s="180" t="s">
        <v>603</v>
      </c>
      <c r="C125" s="121"/>
      <c r="D125" s="152"/>
      <c r="E125" s="152"/>
      <c r="F125" s="106"/>
      <c r="G125" s="320">
        <v>1</v>
      </c>
      <c r="H125" s="282"/>
      <c r="I125" s="282"/>
      <c r="J125" s="282"/>
      <c r="K125" s="282"/>
      <c r="L125" s="320">
        <v>1</v>
      </c>
      <c r="M125" s="95"/>
      <c r="N125" s="95"/>
      <c r="O125" s="282"/>
      <c r="P125" s="282"/>
      <c r="Q125" s="282"/>
      <c r="R125" s="282"/>
      <c r="S125" s="282"/>
      <c r="T125" s="320">
        <v>1</v>
      </c>
      <c r="U125" s="282"/>
      <c r="V125" s="320">
        <v>1</v>
      </c>
      <c r="W125" s="288"/>
      <c r="X125" s="288"/>
      <c r="Y125" s="288"/>
      <c r="Z125" s="160">
        <f t="shared" si="4"/>
        <v>4</v>
      </c>
      <c r="AA125" s="5">
        <f t="shared" si="5"/>
        <v>140</v>
      </c>
      <c r="AB125" s="12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</row>
    <row r="126" spans="1:47" ht="15.75" customHeight="1">
      <c r="A126" s="428">
        <v>118</v>
      </c>
      <c r="B126" s="56" t="s">
        <v>559</v>
      </c>
      <c r="C126" s="182" t="s">
        <v>5</v>
      </c>
      <c r="D126" s="164"/>
      <c r="E126" s="164"/>
      <c r="F126" s="400" t="s">
        <v>703</v>
      </c>
      <c r="G126" s="327">
        <v>1</v>
      </c>
      <c r="H126" s="327">
        <v>1</v>
      </c>
      <c r="I126" s="148"/>
      <c r="J126" s="327">
        <v>1</v>
      </c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48"/>
      <c r="X126" s="369"/>
      <c r="Y126" s="369"/>
      <c r="Z126" s="160">
        <f t="shared" si="4"/>
        <v>3</v>
      </c>
      <c r="AA126" s="5">
        <f t="shared" si="5"/>
        <v>105</v>
      </c>
      <c r="AB126" s="12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</row>
    <row r="127" spans="1:47" ht="15.75" customHeight="1">
      <c r="A127" s="108">
        <v>119</v>
      </c>
      <c r="B127" s="56" t="s">
        <v>418</v>
      </c>
      <c r="C127" s="57" t="s">
        <v>83</v>
      </c>
      <c r="D127" s="156"/>
      <c r="E127" s="156"/>
      <c r="F127" s="17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88"/>
      <c r="Y127" s="288"/>
      <c r="Z127" s="160">
        <f t="shared" si="4"/>
        <v>0</v>
      </c>
      <c r="AA127" s="5">
        <f t="shared" si="5"/>
        <v>0</v>
      </c>
    </row>
    <row r="128" spans="1:47" ht="15.75" customHeight="1">
      <c r="A128" s="428">
        <v>120</v>
      </c>
      <c r="B128" s="56" t="s">
        <v>455</v>
      </c>
      <c r="C128" s="57" t="s">
        <v>5</v>
      </c>
      <c r="D128" s="68"/>
      <c r="E128" s="68"/>
      <c r="F128" s="50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88"/>
      <c r="Y128" s="288"/>
      <c r="Z128" s="160">
        <f t="shared" si="4"/>
        <v>0</v>
      </c>
      <c r="AA128" s="5">
        <f t="shared" si="5"/>
        <v>0</v>
      </c>
      <c r="AB128" s="12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</row>
    <row r="129" spans="1:47" ht="15.75" customHeight="1">
      <c r="A129" s="108">
        <v>121</v>
      </c>
      <c r="B129" s="2" t="s">
        <v>225</v>
      </c>
      <c r="C129" s="50" t="s">
        <v>5</v>
      </c>
      <c r="D129" s="68"/>
      <c r="E129" s="68"/>
      <c r="F129" s="139" t="s">
        <v>461</v>
      </c>
      <c r="G129" s="314">
        <v>1</v>
      </c>
      <c r="H129" s="314">
        <v>1</v>
      </c>
      <c r="I129" s="314"/>
      <c r="J129" s="314">
        <v>1</v>
      </c>
      <c r="K129" s="314">
        <v>1</v>
      </c>
      <c r="L129" s="314">
        <v>1</v>
      </c>
      <c r="M129" s="314">
        <v>1</v>
      </c>
      <c r="N129" s="314">
        <v>1</v>
      </c>
      <c r="O129" s="314">
        <v>1</v>
      </c>
      <c r="P129" s="314">
        <v>1</v>
      </c>
      <c r="Q129" s="314">
        <v>1</v>
      </c>
      <c r="R129" s="314">
        <v>1</v>
      </c>
      <c r="S129" s="314">
        <v>1</v>
      </c>
      <c r="T129" s="314">
        <v>1</v>
      </c>
      <c r="U129" s="314">
        <v>1</v>
      </c>
      <c r="V129" s="314">
        <v>1</v>
      </c>
      <c r="W129" s="314">
        <v>1</v>
      </c>
      <c r="X129" s="315">
        <v>1</v>
      </c>
      <c r="Y129" s="315"/>
      <c r="Z129" s="160">
        <f t="shared" si="4"/>
        <v>17</v>
      </c>
      <c r="AA129" s="5">
        <f t="shared" si="5"/>
        <v>595</v>
      </c>
      <c r="AB129" s="12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</row>
    <row r="130" spans="1:47" ht="15.75" customHeight="1">
      <c r="A130" s="428">
        <v>122</v>
      </c>
      <c r="B130" s="2" t="s">
        <v>734</v>
      </c>
      <c r="C130" s="50" t="s">
        <v>26</v>
      </c>
      <c r="D130" s="68"/>
      <c r="E130" s="68"/>
      <c r="F130" s="50"/>
      <c r="G130" s="314">
        <v>1</v>
      </c>
      <c r="H130" s="314">
        <v>1</v>
      </c>
      <c r="I130" s="262"/>
      <c r="J130" s="314">
        <v>1</v>
      </c>
      <c r="K130" s="262"/>
      <c r="L130" s="262"/>
      <c r="M130" s="262"/>
      <c r="N130" s="262"/>
      <c r="O130" s="314">
        <v>1</v>
      </c>
      <c r="P130" s="262"/>
      <c r="Q130" s="262"/>
      <c r="R130" s="262"/>
      <c r="S130" s="316">
        <v>1</v>
      </c>
      <c r="T130" s="262"/>
      <c r="U130" s="262"/>
      <c r="V130" s="262"/>
      <c r="W130" s="262"/>
      <c r="X130" s="288"/>
      <c r="Y130" s="288"/>
      <c r="Z130" s="160">
        <f t="shared" si="4"/>
        <v>5</v>
      </c>
      <c r="AA130" s="5">
        <f t="shared" si="5"/>
        <v>175</v>
      </c>
      <c r="AB130" s="12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</row>
    <row r="131" spans="1:47" ht="15.75" customHeight="1">
      <c r="A131" s="108">
        <v>123</v>
      </c>
      <c r="B131" s="2" t="s">
        <v>227</v>
      </c>
      <c r="C131" s="50" t="s">
        <v>5</v>
      </c>
      <c r="D131" s="68"/>
      <c r="E131" s="68"/>
      <c r="F131" s="50"/>
      <c r="G131" s="314">
        <v>1</v>
      </c>
      <c r="H131" s="314">
        <v>1</v>
      </c>
      <c r="I131" s="314"/>
      <c r="J131" s="314">
        <v>1</v>
      </c>
      <c r="K131" s="314">
        <v>1</v>
      </c>
      <c r="L131" s="314">
        <v>1</v>
      </c>
      <c r="M131" s="314">
        <v>1</v>
      </c>
      <c r="N131" s="314">
        <v>1</v>
      </c>
      <c r="O131" s="314">
        <v>0</v>
      </c>
      <c r="P131" s="314">
        <v>0</v>
      </c>
      <c r="Q131" s="314">
        <v>0</v>
      </c>
      <c r="R131" s="314">
        <v>0</v>
      </c>
      <c r="S131" s="314">
        <v>0</v>
      </c>
      <c r="T131" s="314">
        <v>1</v>
      </c>
      <c r="U131" s="314">
        <v>1</v>
      </c>
      <c r="V131" s="314">
        <v>1</v>
      </c>
      <c r="W131" s="314">
        <v>1</v>
      </c>
      <c r="X131" s="315">
        <v>1</v>
      </c>
      <c r="Y131" s="315"/>
      <c r="Z131" s="160">
        <f t="shared" si="4"/>
        <v>12</v>
      </c>
      <c r="AA131" s="5">
        <f t="shared" si="5"/>
        <v>420</v>
      </c>
      <c r="AB131" s="12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</row>
    <row r="132" spans="1:47" ht="15.75" customHeight="1">
      <c r="A132" s="428">
        <v>124</v>
      </c>
      <c r="B132" s="56" t="s">
        <v>419</v>
      </c>
      <c r="C132" s="57" t="s">
        <v>83</v>
      </c>
      <c r="D132" s="69"/>
      <c r="E132" s="69"/>
      <c r="F132" s="58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88"/>
      <c r="Y132" s="288"/>
      <c r="Z132" s="160">
        <f t="shared" si="4"/>
        <v>0</v>
      </c>
      <c r="AA132" s="5">
        <f t="shared" si="5"/>
        <v>0</v>
      </c>
    </row>
    <row r="133" spans="1:47" ht="15.75" customHeight="1">
      <c r="A133" s="108">
        <v>125</v>
      </c>
      <c r="B133" s="56" t="s">
        <v>80</v>
      </c>
      <c r="C133" s="50" t="s">
        <v>5</v>
      </c>
      <c r="D133" s="68"/>
      <c r="E133" s="68"/>
      <c r="F133" s="50"/>
      <c r="G133" s="359">
        <v>0</v>
      </c>
      <c r="H133" s="359">
        <v>0</v>
      </c>
      <c r="I133" s="57"/>
      <c r="J133" s="359">
        <v>0</v>
      </c>
      <c r="K133" s="359">
        <v>0</v>
      </c>
      <c r="L133" s="359">
        <v>0</v>
      </c>
      <c r="M133" s="359">
        <v>0</v>
      </c>
      <c r="N133" s="359">
        <v>0</v>
      </c>
      <c r="O133" s="359">
        <v>0</v>
      </c>
      <c r="P133" s="359">
        <v>0</v>
      </c>
      <c r="Q133" s="359">
        <v>0</v>
      </c>
      <c r="R133" s="359">
        <v>0</v>
      </c>
      <c r="S133" s="359">
        <v>0</v>
      </c>
      <c r="T133" s="359">
        <v>0</v>
      </c>
      <c r="U133" s="359">
        <v>0</v>
      </c>
      <c r="V133" s="359">
        <v>0</v>
      </c>
      <c r="W133" s="359">
        <v>0</v>
      </c>
      <c r="X133" s="360">
        <v>0</v>
      </c>
      <c r="Y133" s="360"/>
      <c r="Z133" s="160">
        <f t="shared" si="4"/>
        <v>0</v>
      </c>
      <c r="AA133" s="5">
        <f t="shared" si="5"/>
        <v>0</v>
      </c>
      <c r="AB133" s="12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</row>
    <row r="134" spans="1:47" ht="15.75" customHeight="1">
      <c r="A134" s="428">
        <v>126</v>
      </c>
      <c r="B134" s="56" t="s">
        <v>655</v>
      </c>
      <c r="C134" s="50" t="s">
        <v>26</v>
      </c>
      <c r="D134" s="68"/>
      <c r="E134" s="68"/>
      <c r="F134" s="50"/>
      <c r="G134" s="262"/>
      <c r="H134" s="262"/>
      <c r="I134" s="10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88"/>
      <c r="Y134" s="288"/>
      <c r="Z134" s="160">
        <f t="shared" si="4"/>
        <v>0</v>
      </c>
      <c r="AA134" s="5">
        <f t="shared" si="5"/>
        <v>0</v>
      </c>
      <c r="AB134" s="12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</row>
    <row r="135" spans="1:47" ht="15.75" customHeight="1">
      <c r="A135" s="108">
        <v>127</v>
      </c>
      <c r="B135" s="56" t="s">
        <v>273</v>
      </c>
      <c r="C135" s="57" t="s">
        <v>83</v>
      </c>
      <c r="D135" s="69"/>
      <c r="E135" s="69"/>
      <c r="F135" s="58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88"/>
      <c r="Y135" s="288"/>
      <c r="Z135" s="160">
        <f t="shared" si="4"/>
        <v>0</v>
      </c>
      <c r="AA135" s="5">
        <f t="shared" si="5"/>
        <v>0</v>
      </c>
    </row>
    <row r="136" spans="1:47" s="427" customFormat="1" ht="15.75" customHeight="1">
      <c r="A136" s="428">
        <v>128</v>
      </c>
      <c r="B136" s="56" t="s">
        <v>803</v>
      </c>
      <c r="C136" s="57" t="s">
        <v>5</v>
      </c>
      <c r="D136" s="69"/>
      <c r="E136" s="69"/>
      <c r="F136" s="58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316">
        <v>1</v>
      </c>
      <c r="R136" s="262"/>
      <c r="S136" s="262"/>
      <c r="T136" s="262"/>
      <c r="U136" s="262"/>
      <c r="V136" s="262"/>
      <c r="W136" s="262"/>
      <c r="X136" s="288"/>
      <c r="Y136" s="288"/>
      <c r="Z136" s="160"/>
      <c r="AA136" s="5"/>
    </row>
    <row r="137" spans="1:47" ht="15.75" customHeight="1">
      <c r="A137" s="108">
        <v>129</v>
      </c>
      <c r="B137" s="56" t="s">
        <v>607</v>
      </c>
      <c r="C137" s="57" t="s">
        <v>615</v>
      </c>
      <c r="D137" s="69"/>
      <c r="E137" s="69"/>
      <c r="F137" s="58"/>
      <c r="G137" s="262"/>
      <c r="H137" s="262"/>
      <c r="I137" s="262"/>
      <c r="J137" s="262"/>
      <c r="K137" s="262"/>
      <c r="L137" s="262"/>
      <c r="M137" s="262"/>
      <c r="N137" s="314">
        <v>1</v>
      </c>
      <c r="O137" s="262"/>
      <c r="P137" s="262"/>
      <c r="Q137" s="314">
        <v>1</v>
      </c>
      <c r="R137" s="262"/>
      <c r="S137" s="262"/>
      <c r="T137" s="262"/>
      <c r="U137" s="262"/>
      <c r="V137" s="262"/>
      <c r="W137" s="262"/>
      <c r="X137" s="288"/>
      <c r="Y137" s="288"/>
      <c r="Z137" s="160">
        <f t="shared" si="4"/>
        <v>2</v>
      </c>
      <c r="AA137" s="5">
        <f t="shared" si="5"/>
        <v>70</v>
      </c>
    </row>
    <row r="138" spans="1:47" ht="15.75" customHeight="1">
      <c r="A138" s="428">
        <v>130</v>
      </c>
      <c r="B138" s="56" t="s">
        <v>183</v>
      </c>
      <c r="C138" s="57" t="s">
        <v>83</v>
      </c>
      <c r="D138" s="67"/>
      <c r="E138" s="69"/>
      <c r="F138" s="144" t="s">
        <v>461</v>
      </c>
      <c r="G138" s="314">
        <v>1</v>
      </c>
      <c r="H138" s="314">
        <v>1</v>
      </c>
      <c r="I138" s="48"/>
      <c r="J138" s="314">
        <v>1</v>
      </c>
      <c r="K138" s="314">
        <v>1</v>
      </c>
      <c r="L138" s="314">
        <v>1</v>
      </c>
      <c r="M138" s="314">
        <v>1</v>
      </c>
      <c r="N138" s="314">
        <v>1</v>
      </c>
      <c r="O138" s="314">
        <v>1</v>
      </c>
      <c r="P138" s="314">
        <v>1</v>
      </c>
      <c r="Q138" s="314">
        <v>1</v>
      </c>
      <c r="R138" s="314">
        <v>1</v>
      </c>
      <c r="S138" s="314">
        <v>1</v>
      </c>
      <c r="T138" s="314">
        <v>1</v>
      </c>
      <c r="U138" s="314">
        <v>1</v>
      </c>
      <c r="V138" s="314">
        <v>1</v>
      </c>
      <c r="W138" s="314">
        <v>1</v>
      </c>
      <c r="X138" s="315">
        <v>1</v>
      </c>
      <c r="Y138" s="315"/>
      <c r="Z138" s="160">
        <f t="shared" si="4"/>
        <v>17</v>
      </c>
      <c r="AA138" s="5">
        <f t="shared" si="5"/>
        <v>595</v>
      </c>
    </row>
    <row r="139" spans="1:47" ht="15.75" customHeight="1">
      <c r="A139" s="108">
        <v>131</v>
      </c>
      <c r="B139" s="56" t="s">
        <v>7</v>
      </c>
      <c r="C139" s="57" t="s">
        <v>5</v>
      </c>
      <c r="D139" s="68"/>
      <c r="E139" s="68"/>
      <c r="F139" s="48"/>
      <c r="G139" s="314">
        <v>1</v>
      </c>
      <c r="H139" s="262"/>
      <c r="I139" s="262"/>
      <c r="J139" s="262"/>
      <c r="K139" s="314">
        <v>1</v>
      </c>
      <c r="L139" s="262"/>
      <c r="M139" s="262"/>
      <c r="N139" s="314">
        <v>1</v>
      </c>
      <c r="O139" s="262"/>
      <c r="P139" s="262"/>
      <c r="Q139" s="262"/>
      <c r="R139" s="262"/>
      <c r="S139" s="262"/>
      <c r="T139" s="262"/>
      <c r="U139" s="262"/>
      <c r="V139" s="262"/>
      <c r="W139" s="262"/>
      <c r="X139" s="288"/>
      <c r="Y139" s="288"/>
      <c r="Z139" s="160">
        <f t="shared" si="4"/>
        <v>3</v>
      </c>
      <c r="AA139" s="5">
        <f t="shared" si="5"/>
        <v>105</v>
      </c>
    </row>
    <row r="140" spans="1:47" ht="15.75" customHeight="1">
      <c r="A140" s="428">
        <v>132</v>
      </c>
      <c r="B140" s="56" t="s">
        <v>243</v>
      </c>
      <c r="C140" s="57" t="s">
        <v>5</v>
      </c>
      <c r="D140" s="68"/>
      <c r="E140" s="68"/>
      <c r="F140" s="48"/>
      <c r="G140" s="262"/>
      <c r="H140" s="262"/>
      <c r="I140" s="10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88"/>
      <c r="Y140" s="288"/>
      <c r="Z140" s="160">
        <f t="shared" ref="Z140:Z154" si="6">+SUM(G140:Y140)</f>
        <v>0</v>
      </c>
      <c r="AA140" s="5">
        <f t="shared" ref="AA140:AA154" si="7">+Z140*35</f>
        <v>0</v>
      </c>
    </row>
    <row r="141" spans="1:47" ht="15.75" customHeight="1">
      <c r="A141" s="108">
        <v>133</v>
      </c>
      <c r="B141" s="56" t="s">
        <v>421</v>
      </c>
      <c r="C141" s="57" t="s">
        <v>26</v>
      </c>
      <c r="D141" s="67"/>
      <c r="E141" s="67"/>
      <c r="F141" s="57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88"/>
      <c r="Y141" s="288"/>
      <c r="Z141" s="160">
        <f t="shared" si="6"/>
        <v>0</v>
      </c>
      <c r="AA141" s="5">
        <f t="shared" si="7"/>
        <v>0</v>
      </c>
    </row>
    <row r="142" spans="1:47" ht="15.75" customHeight="1">
      <c r="A142" s="428">
        <v>134</v>
      </c>
      <c r="B142" s="56" t="s">
        <v>422</v>
      </c>
      <c r="C142" s="57" t="s">
        <v>83</v>
      </c>
      <c r="D142" s="67"/>
      <c r="E142" s="67"/>
      <c r="F142" s="144" t="s">
        <v>461</v>
      </c>
      <c r="G142" s="314">
        <v>1</v>
      </c>
      <c r="H142" s="314">
        <v>1</v>
      </c>
      <c r="I142" s="314"/>
      <c r="J142" s="314">
        <v>1</v>
      </c>
      <c r="K142" s="314">
        <v>1</v>
      </c>
      <c r="L142" s="314">
        <v>1</v>
      </c>
      <c r="M142" s="314">
        <v>1</v>
      </c>
      <c r="N142" s="314">
        <v>1</v>
      </c>
      <c r="O142" s="314">
        <v>1</v>
      </c>
      <c r="P142" s="314">
        <v>1</v>
      </c>
      <c r="Q142" s="314">
        <v>1</v>
      </c>
      <c r="R142" s="314">
        <v>1</v>
      </c>
      <c r="S142" s="314">
        <v>1</v>
      </c>
      <c r="T142" s="314">
        <v>1</v>
      </c>
      <c r="U142" s="314">
        <v>1</v>
      </c>
      <c r="V142" s="314">
        <v>1</v>
      </c>
      <c r="W142" s="314">
        <v>1</v>
      </c>
      <c r="X142" s="315">
        <v>1</v>
      </c>
      <c r="Y142" s="315"/>
      <c r="Z142" s="160">
        <f t="shared" si="6"/>
        <v>17</v>
      </c>
      <c r="AA142" s="5">
        <f t="shared" si="7"/>
        <v>595</v>
      </c>
    </row>
    <row r="143" spans="1:47" ht="15.75" customHeight="1">
      <c r="A143" s="108">
        <v>135</v>
      </c>
      <c r="B143" s="56" t="s">
        <v>541</v>
      </c>
      <c r="C143" s="57" t="s">
        <v>26</v>
      </c>
      <c r="D143" s="67"/>
      <c r="E143" s="67"/>
      <c r="F143" s="57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88"/>
      <c r="Y143" s="288"/>
      <c r="Z143" s="160">
        <f t="shared" si="6"/>
        <v>0</v>
      </c>
      <c r="AA143" s="5">
        <f t="shared" si="7"/>
        <v>0</v>
      </c>
    </row>
    <row r="144" spans="1:47" ht="15.75" customHeight="1">
      <c r="A144" s="428">
        <v>136</v>
      </c>
      <c r="B144" s="56" t="s">
        <v>283</v>
      </c>
      <c r="C144" s="57" t="s">
        <v>26</v>
      </c>
      <c r="D144" s="68"/>
      <c r="E144" s="68"/>
      <c r="F144" s="48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88"/>
      <c r="Y144" s="288"/>
      <c r="Z144" s="160">
        <f t="shared" si="6"/>
        <v>0</v>
      </c>
      <c r="AA144" s="5">
        <f t="shared" si="7"/>
        <v>0</v>
      </c>
    </row>
    <row r="145" spans="1:28" ht="15.75" customHeight="1">
      <c r="A145" s="108">
        <v>137</v>
      </c>
      <c r="B145" s="56"/>
      <c r="C145" s="57"/>
      <c r="D145" s="67"/>
      <c r="E145" s="67"/>
      <c r="F145" s="57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88"/>
      <c r="Y145" s="288"/>
      <c r="Z145" s="160">
        <f t="shared" si="6"/>
        <v>0</v>
      </c>
      <c r="AA145" s="5">
        <f t="shared" si="7"/>
        <v>0</v>
      </c>
    </row>
    <row r="146" spans="1:28" ht="15.75" customHeight="1">
      <c r="A146" s="428">
        <v>138</v>
      </c>
      <c r="B146" s="55"/>
      <c r="C146" s="48"/>
      <c r="D146" s="68"/>
      <c r="E146" s="68"/>
      <c r="F146" s="48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88"/>
      <c r="Y146" s="288"/>
      <c r="Z146" s="160">
        <f t="shared" si="6"/>
        <v>0</v>
      </c>
      <c r="AA146" s="5">
        <f t="shared" si="7"/>
        <v>0</v>
      </c>
    </row>
    <row r="147" spans="1:28" ht="15.75" customHeight="1">
      <c r="A147" s="108">
        <v>139</v>
      </c>
      <c r="B147" s="55"/>
      <c r="C147" s="48"/>
      <c r="D147" s="68"/>
      <c r="E147" s="68"/>
      <c r="F147" s="55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88"/>
      <c r="Y147" s="288"/>
      <c r="Z147" s="160">
        <f t="shared" si="6"/>
        <v>0</v>
      </c>
      <c r="AA147" s="5">
        <f t="shared" si="7"/>
        <v>0</v>
      </c>
    </row>
    <row r="148" spans="1:28" ht="15.75" customHeight="1">
      <c r="A148" s="428">
        <v>140</v>
      </c>
      <c r="B148" s="55"/>
      <c r="C148" s="48"/>
      <c r="D148" s="68"/>
      <c r="E148" s="68"/>
      <c r="F148" s="55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88"/>
      <c r="Y148" s="288"/>
      <c r="Z148" s="160">
        <f t="shared" si="6"/>
        <v>0</v>
      </c>
      <c r="AA148" s="5">
        <f t="shared" si="7"/>
        <v>0</v>
      </c>
    </row>
    <row r="149" spans="1:28" ht="15.75" customHeight="1">
      <c r="A149" s="108">
        <v>141</v>
      </c>
      <c r="B149" s="56"/>
      <c r="C149" s="57"/>
      <c r="D149" s="67"/>
      <c r="E149" s="67"/>
      <c r="F149" s="5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291"/>
      <c r="Y149" s="291"/>
      <c r="Z149" s="160">
        <f t="shared" si="6"/>
        <v>0</v>
      </c>
      <c r="AA149" s="5">
        <f t="shared" si="7"/>
        <v>0</v>
      </c>
    </row>
    <row r="150" spans="1:28" ht="15.75" customHeight="1">
      <c r="A150" s="428">
        <v>142</v>
      </c>
      <c r="B150" s="56"/>
      <c r="C150" s="57"/>
      <c r="D150" s="67"/>
      <c r="E150" s="67"/>
      <c r="F150" s="5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291"/>
      <c r="Y150" s="291"/>
      <c r="Z150" s="160">
        <f t="shared" si="6"/>
        <v>0</v>
      </c>
      <c r="AA150" s="5">
        <f t="shared" si="7"/>
        <v>0</v>
      </c>
    </row>
    <row r="151" spans="1:28" ht="15.75" customHeight="1">
      <c r="A151" s="108">
        <v>143</v>
      </c>
      <c r="B151" s="56"/>
      <c r="C151" s="57"/>
      <c r="D151" s="67"/>
      <c r="E151" s="67"/>
      <c r="F151" s="5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291"/>
      <c r="Y151" s="291"/>
      <c r="Z151" s="160">
        <f t="shared" si="6"/>
        <v>0</v>
      </c>
      <c r="AA151" s="5">
        <f t="shared" si="7"/>
        <v>0</v>
      </c>
    </row>
    <row r="152" spans="1:28" ht="15.75" customHeight="1">
      <c r="A152" s="428">
        <v>144</v>
      </c>
      <c r="B152" s="56"/>
      <c r="C152" s="57"/>
      <c r="D152" s="67"/>
      <c r="E152" s="67"/>
      <c r="F152" s="5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291"/>
      <c r="Y152" s="291"/>
      <c r="Z152" s="160">
        <f t="shared" si="6"/>
        <v>0</v>
      </c>
      <c r="AA152" s="5">
        <f t="shared" si="7"/>
        <v>0</v>
      </c>
    </row>
    <row r="153" spans="1:28" ht="15.75" customHeight="1">
      <c r="A153" s="108">
        <v>145</v>
      </c>
      <c r="B153" s="1"/>
      <c r="C153" s="10"/>
      <c r="D153" s="74"/>
      <c r="E153" s="74"/>
      <c r="F153" s="1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291"/>
      <c r="Y153" s="291"/>
      <c r="Z153" s="160">
        <f t="shared" si="6"/>
        <v>0</v>
      </c>
      <c r="AA153" s="5">
        <f t="shared" si="7"/>
        <v>0</v>
      </c>
    </row>
    <row r="154" spans="1:28" ht="15.75" customHeight="1">
      <c r="A154" s="428">
        <v>146</v>
      </c>
      <c r="B154" s="1"/>
      <c r="C154" s="10"/>
      <c r="D154" s="74"/>
      <c r="E154" s="74"/>
      <c r="F154" s="1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291"/>
      <c r="Y154" s="291"/>
      <c r="Z154" s="160">
        <f t="shared" si="6"/>
        <v>0</v>
      </c>
      <c r="AA154" s="5">
        <f t="shared" si="7"/>
        <v>0</v>
      </c>
    </row>
    <row r="155" spans="1:28" ht="15.75" customHeight="1" thickBot="1">
      <c r="A155" s="170"/>
      <c r="C155" s="21"/>
      <c r="D155" s="22"/>
      <c r="E155" s="22"/>
      <c r="F155" s="21"/>
      <c r="G155" s="205">
        <f t="shared" ref="G155:Y155" si="8">SUM(G9:G154)</f>
        <v>70</v>
      </c>
      <c r="H155" s="205">
        <f t="shared" si="8"/>
        <v>59</v>
      </c>
      <c r="I155" s="205">
        <f t="shared" si="8"/>
        <v>1</v>
      </c>
      <c r="J155" s="205">
        <f t="shared" si="8"/>
        <v>65</v>
      </c>
      <c r="K155" s="205">
        <f t="shared" si="8"/>
        <v>58</v>
      </c>
      <c r="L155" s="205">
        <f t="shared" si="8"/>
        <v>57</v>
      </c>
      <c r="M155" s="205">
        <f t="shared" si="8"/>
        <v>57</v>
      </c>
      <c r="N155" s="205">
        <f t="shared" si="8"/>
        <v>57</v>
      </c>
      <c r="O155" s="205">
        <f t="shared" si="8"/>
        <v>67</v>
      </c>
      <c r="P155" s="205">
        <f t="shared" si="8"/>
        <v>53</v>
      </c>
      <c r="Q155" s="205">
        <f t="shared" si="8"/>
        <v>50</v>
      </c>
      <c r="R155" s="205">
        <f t="shared" si="8"/>
        <v>51</v>
      </c>
      <c r="S155" s="205">
        <f t="shared" si="8"/>
        <v>53</v>
      </c>
      <c r="T155" s="205">
        <f t="shared" si="8"/>
        <v>64</v>
      </c>
      <c r="U155" s="205">
        <f t="shared" si="8"/>
        <v>56</v>
      </c>
      <c r="V155" s="205">
        <f t="shared" si="8"/>
        <v>56</v>
      </c>
      <c r="W155" s="205">
        <f t="shared" si="8"/>
        <v>57</v>
      </c>
      <c r="X155" s="205">
        <f t="shared" si="8"/>
        <v>57</v>
      </c>
      <c r="Y155" s="205">
        <f t="shared" si="8"/>
        <v>0</v>
      </c>
      <c r="Z155" s="466"/>
      <c r="AA155" s="467"/>
    </row>
    <row r="156" spans="1:28" ht="15.75" customHeight="1" thickBot="1">
      <c r="C156" s="21"/>
      <c r="D156" s="22"/>
      <c r="E156" s="22"/>
      <c r="F156" s="16"/>
      <c r="G156" s="460"/>
      <c r="H156" s="461"/>
      <c r="I156" s="461"/>
      <c r="J156" s="461"/>
      <c r="K156" s="461"/>
      <c r="L156" s="461"/>
      <c r="M156" s="461"/>
      <c r="N156" s="461"/>
      <c r="O156" s="461"/>
      <c r="P156" s="461"/>
      <c r="Q156" s="461"/>
      <c r="R156" s="461"/>
      <c r="S156" s="461"/>
      <c r="T156" s="461"/>
      <c r="U156" s="461"/>
      <c r="V156" s="461"/>
      <c r="W156" s="461"/>
      <c r="X156" s="461"/>
      <c r="Y156" s="462"/>
      <c r="Z156" s="300">
        <f>+SUM(Z9:Z154)</f>
        <v>986</v>
      </c>
      <c r="AA156" s="299"/>
      <c r="AB156" s="295"/>
    </row>
    <row r="157" spans="1:28" ht="15.75" customHeight="1" thickBot="1">
      <c r="G157" s="429"/>
      <c r="H157" s="430"/>
      <c r="I157" s="430"/>
      <c r="J157" s="430"/>
      <c r="K157" s="430"/>
      <c r="L157" s="430"/>
      <c r="M157" s="430"/>
      <c r="N157" s="430"/>
      <c r="O157" s="430"/>
      <c r="P157" s="430"/>
      <c r="Q157" s="430"/>
      <c r="R157" s="430"/>
      <c r="S157" s="430"/>
      <c r="T157" s="430"/>
      <c r="U157" s="430"/>
      <c r="V157" s="430"/>
      <c r="W157" s="430"/>
      <c r="X157" s="430"/>
      <c r="Y157" s="430"/>
      <c r="Z157" s="431"/>
      <c r="AA157" s="296">
        <f>+SUM(AA9:AA154)</f>
        <v>34510</v>
      </c>
    </row>
    <row r="158" spans="1:28" ht="15.75" customHeight="1"/>
    <row r="159" spans="1:28" ht="15.75" customHeight="1"/>
    <row r="160" spans="1:28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</sheetData>
  <sortState ref="B9:W154">
    <sortCondition ref="B9:B154"/>
  </sortState>
  <mergeCells count="13">
    <mergeCell ref="G157:Z157"/>
    <mergeCell ref="A5:A8"/>
    <mergeCell ref="B5:B8"/>
    <mergeCell ref="C5:C8"/>
    <mergeCell ref="D5:D8"/>
    <mergeCell ref="E5:E8"/>
    <mergeCell ref="F5:F8"/>
    <mergeCell ref="Z5:Z8"/>
    <mergeCell ref="AA5:AA8"/>
    <mergeCell ref="Z155:AA155"/>
    <mergeCell ref="G5:Y5"/>
    <mergeCell ref="G156:Y156"/>
    <mergeCell ref="A1:AA4"/>
  </mergeCells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15"/>
  <sheetViews>
    <sheetView zoomScale="93" zoomScaleNormal="95" workbookViewId="0">
      <pane ySplit="8" topLeftCell="A59" activePane="bottomLeft" state="frozen"/>
      <selection pane="bottomLeft" activeCell="K69" sqref="K69:S69"/>
    </sheetView>
  </sheetViews>
  <sheetFormatPr baseColWidth="10" defaultColWidth="14.5" defaultRowHeight="15" customHeight="1"/>
  <cols>
    <col min="1" max="1" width="5.1640625" customWidth="1"/>
    <col min="2" max="2" width="27.5" customWidth="1"/>
    <col min="3" max="3" width="11.6640625" customWidth="1"/>
    <col min="4" max="4" width="10.5" customWidth="1"/>
    <col min="5" max="5" width="12" customWidth="1"/>
    <col min="6" max="6" width="39.5" customWidth="1"/>
    <col min="7" max="25" width="3.33203125" customWidth="1"/>
    <col min="26" max="27" width="10.6640625" customWidth="1"/>
  </cols>
  <sheetData>
    <row r="1" spans="1:27">
      <c r="A1" s="437" t="s">
        <v>29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</row>
    <row r="2" spans="1:27">
      <c r="A2" s="438"/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</row>
    <row r="3" spans="1:27">
      <c r="A3" s="438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</row>
    <row r="4" spans="1:27" ht="16" thickBot="1">
      <c r="A4" s="440"/>
      <c r="B4" s="441"/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  <c r="Z4" s="441"/>
      <c r="AA4" s="441"/>
    </row>
    <row r="5" spans="1:27" ht="15" customHeight="1" thickBot="1">
      <c r="A5" s="457" t="s">
        <v>8</v>
      </c>
      <c r="B5" s="445" t="s">
        <v>0</v>
      </c>
      <c r="C5" s="445" t="s">
        <v>1</v>
      </c>
      <c r="D5" s="446" t="s">
        <v>2</v>
      </c>
      <c r="E5" s="446" t="s">
        <v>3</v>
      </c>
      <c r="F5" s="458" t="s">
        <v>9</v>
      </c>
      <c r="G5" s="451" t="s">
        <v>747</v>
      </c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3"/>
      <c r="Z5" s="432" t="s">
        <v>10</v>
      </c>
      <c r="AA5" s="432" t="s">
        <v>11</v>
      </c>
    </row>
    <row r="6" spans="1:27">
      <c r="A6" s="444"/>
      <c r="B6" s="433"/>
      <c r="C6" s="433"/>
      <c r="D6" s="447"/>
      <c r="E6" s="447"/>
      <c r="F6" s="438"/>
      <c r="G6" s="261" t="s">
        <v>12</v>
      </c>
      <c r="H6" s="261" t="s">
        <v>13</v>
      </c>
      <c r="I6" s="261" t="s">
        <v>13</v>
      </c>
      <c r="J6" s="261" t="s">
        <v>12</v>
      </c>
      <c r="K6" s="261" t="s">
        <v>13</v>
      </c>
      <c r="L6" s="261" t="s">
        <v>13</v>
      </c>
      <c r="M6" s="261" t="s">
        <v>14</v>
      </c>
      <c r="N6" s="261" t="s">
        <v>15</v>
      </c>
      <c r="O6" s="261" t="s">
        <v>12</v>
      </c>
      <c r="P6" s="261" t="s">
        <v>13</v>
      </c>
      <c r="Q6" s="261" t="s">
        <v>13</v>
      </c>
      <c r="R6" s="261" t="s">
        <v>14</v>
      </c>
      <c r="S6" s="261" t="s">
        <v>15</v>
      </c>
      <c r="T6" s="261" t="s">
        <v>12</v>
      </c>
      <c r="U6" s="261" t="s">
        <v>13</v>
      </c>
      <c r="V6" s="261" t="s">
        <v>13</v>
      </c>
      <c r="W6" s="261" t="s">
        <v>14</v>
      </c>
      <c r="X6" s="261" t="s">
        <v>15</v>
      </c>
      <c r="Y6" s="261" t="s">
        <v>12</v>
      </c>
      <c r="Z6" s="433"/>
      <c r="AA6" s="433"/>
    </row>
    <row r="7" spans="1:27">
      <c r="A7" s="444"/>
      <c r="B7" s="433"/>
      <c r="C7" s="433"/>
      <c r="D7" s="447"/>
      <c r="E7" s="447"/>
      <c r="F7" s="438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3">
        <v>13</v>
      </c>
      <c r="T7" s="3">
        <v>14</v>
      </c>
      <c r="U7" s="3">
        <v>15</v>
      </c>
      <c r="V7" s="3">
        <v>16</v>
      </c>
      <c r="W7" s="3">
        <v>17</v>
      </c>
      <c r="X7" s="3">
        <v>18</v>
      </c>
      <c r="Y7" s="3">
        <v>19</v>
      </c>
      <c r="Z7" s="433"/>
      <c r="AA7" s="433"/>
    </row>
    <row r="8" spans="1:27">
      <c r="A8" s="442"/>
      <c r="B8" s="433"/>
      <c r="C8" s="433"/>
      <c r="D8" s="447"/>
      <c r="E8" s="447"/>
      <c r="F8" s="447"/>
      <c r="G8" s="4">
        <v>3</v>
      </c>
      <c r="H8" s="4">
        <v>4</v>
      </c>
      <c r="I8" s="4">
        <v>5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17</v>
      </c>
      <c r="P8" s="4">
        <v>18</v>
      </c>
      <c r="Q8" s="4">
        <v>19</v>
      </c>
      <c r="R8" s="4">
        <v>20</v>
      </c>
      <c r="S8" s="4">
        <v>21</v>
      </c>
      <c r="T8" s="4">
        <v>24</v>
      </c>
      <c r="U8" s="4">
        <v>25</v>
      </c>
      <c r="V8" s="4">
        <v>26</v>
      </c>
      <c r="W8" s="4">
        <v>27</v>
      </c>
      <c r="X8" s="4">
        <v>28</v>
      </c>
      <c r="Y8" s="4">
        <v>31</v>
      </c>
      <c r="Z8" s="434"/>
      <c r="AA8" s="434"/>
    </row>
    <row r="9" spans="1:27">
      <c r="A9" s="108">
        <v>1</v>
      </c>
      <c r="B9" s="108" t="s">
        <v>515</v>
      </c>
      <c r="C9" s="111" t="s">
        <v>28</v>
      </c>
      <c r="D9" s="108"/>
      <c r="E9" s="108"/>
      <c r="F9" s="425"/>
      <c r="G9" s="319">
        <v>1</v>
      </c>
      <c r="H9" s="319">
        <v>1</v>
      </c>
      <c r="I9" s="121"/>
      <c r="J9" s="319">
        <v>1</v>
      </c>
      <c r="K9" s="319">
        <v>1</v>
      </c>
      <c r="L9" s="319">
        <v>1</v>
      </c>
      <c r="M9" s="319">
        <v>1</v>
      </c>
      <c r="N9" s="319">
        <v>1</v>
      </c>
      <c r="O9" s="319">
        <v>1</v>
      </c>
      <c r="P9" s="319">
        <v>1</v>
      </c>
      <c r="Q9" s="319">
        <v>1</v>
      </c>
      <c r="R9" s="319">
        <v>1</v>
      </c>
      <c r="S9" s="319">
        <v>1</v>
      </c>
      <c r="T9" s="319">
        <v>1</v>
      </c>
      <c r="U9" s="319">
        <v>1</v>
      </c>
      <c r="V9" s="407">
        <v>1</v>
      </c>
      <c r="W9" s="319">
        <v>1</v>
      </c>
      <c r="X9" s="319">
        <v>1</v>
      </c>
      <c r="Y9" s="350"/>
      <c r="Z9" s="166">
        <f t="shared" ref="Z9" si="0">+SUM(G9:Y9)</f>
        <v>17</v>
      </c>
      <c r="AA9" s="102">
        <f t="shared" ref="AA9" si="1">+Z9*35</f>
        <v>595</v>
      </c>
    </row>
    <row r="10" spans="1:27">
      <c r="A10" s="155">
        <v>2</v>
      </c>
      <c r="B10" s="108" t="s">
        <v>250</v>
      </c>
      <c r="C10" s="111" t="s">
        <v>28</v>
      </c>
      <c r="D10" s="108"/>
      <c r="E10" s="108"/>
      <c r="F10" s="108"/>
      <c r="G10" s="319">
        <v>1</v>
      </c>
      <c r="H10" s="319">
        <v>1</v>
      </c>
      <c r="I10" s="121"/>
      <c r="J10" s="319">
        <v>1</v>
      </c>
      <c r="K10" s="319">
        <v>1</v>
      </c>
      <c r="L10" s="319">
        <v>1</v>
      </c>
      <c r="M10" s="319">
        <v>1</v>
      </c>
      <c r="N10" s="319">
        <v>1</v>
      </c>
      <c r="O10" s="319">
        <v>1</v>
      </c>
      <c r="P10" s="319">
        <v>1</v>
      </c>
      <c r="Q10" s="319">
        <v>1</v>
      </c>
      <c r="R10" s="319">
        <v>1</v>
      </c>
      <c r="S10" s="319">
        <v>1</v>
      </c>
      <c r="T10" s="319">
        <v>1</v>
      </c>
      <c r="U10" s="319">
        <v>1</v>
      </c>
      <c r="V10" s="407">
        <v>1</v>
      </c>
      <c r="W10" s="319">
        <v>1</v>
      </c>
      <c r="X10" s="319">
        <v>1</v>
      </c>
      <c r="Y10" s="350"/>
      <c r="Z10" s="166">
        <f t="shared" ref="Z10:Z74" si="2">+SUM(G10:Y10)</f>
        <v>17</v>
      </c>
      <c r="AA10" s="102">
        <f t="shared" ref="AA10:AA74" si="3">+Z10*35</f>
        <v>595</v>
      </c>
    </row>
    <row r="11" spans="1:27">
      <c r="A11" s="108">
        <v>3</v>
      </c>
      <c r="B11" s="108" t="s">
        <v>620</v>
      </c>
      <c r="C11" s="111" t="s">
        <v>28</v>
      </c>
      <c r="D11" s="108"/>
      <c r="E11" s="108"/>
      <c r="F11" s="234" t="s">
        <v>461</v>
      </c>
      <c r="G11" s="319">
        <v>1</v>
      </c>
      <c r="H11" s="319">
        <v>1</v>
      </c>
      <c r="I11" s="121"/>
      <c r="J11" s="319">
        <v>1</v>
      </c>
      <c r="K11" s="280"/>
      <c r="L11" s="280"/>
      <c r="M11" s="319">
        <v>1</v>
      </c>
      <c r="N11" s="319">
        <v>1</v>
      </c>
      <c r="O11" s="280"/>
      <c r="P11" s="280"/>
      <c r="Q11" s="280"/>
      <c r="R11" s="280"/>
      <c r="S11" s="280"/>
      <c r="T11" s="319">
        <v>1</v>
      </c>
      <c r="U11" s="319">
        <v>1</v>
      </c>
      <c r="V11" s="407">
        <v>1</v>
      </c>
      <c r="W11" s="319">
        <v>1</v>
      </c>
      <c r="X11" s="319">
        <v>1</v>
      </c>
      <c r="Y11" s="280"/>
      <c r="Z11" s="166">
        <f t="shared" si="2"/>
        <v>10</v>
      </c>
      <c r="AA11" s="102">
        <f t="shared" si="3"/>
        <v>350</v>
      </c>
    </row>
    <row r="12" spans="1:27">
      <c r="A12" s="155">
        <v>4</v>
      </c>
      <c r="B12" s="108" t="s">
        <v>481</v>
      </c>
      <c r="C12" s="111" t="s">
        <v>28</v>
      </c>
      <c r="D12" s="108"/>
      <c r="E12" s="108"/>
      <c r="F12" s="111"/>
      <c r="G12" s="319">
        <v>1</v>
      </c>
      <c r="H12" s="319">
        <v>1</v>
      </c>
      <c r="I12" s="121"/>
      <c r="J12" s="319">
        <v>1</v>
      </c>
      <c r="K12" s="319">
        <v>1</v>
      </c>
      <c r="L12" s="319">
        <v>1</v>
      </c>
      <c r="M12" s="319">
        <v>1</v>
      </c>
      <c r="N12" s="319">
        <v>1</v>
      </c>
      <c r="O12" s="319">
        <v>1</v>
      </c>
      <c r="P12" s="319">
        <v>1</v>
      </c>
      <c r="Q12" s="319">
        <v>1</v>
      </c>
      <c r="R12" s="319">
        <v>1</v>
      </c>
      <c r="S12" s="319">
        <v>1</v>
      </c>
      <c r="T12" s="319">
        <v>1</v>
      </c>
      <c r="U12" s="319">
        <v>1</v>
      </c>
      <c r="V12" s="407">
        <v>1</v>
      </c>
      <c r="W12" s="350">
        <v>1</v>
      </c>
      <c r="X12" s="350">
        <v>1</v>
      </c>
      <c r="Y12" s="350"/>
      <c r="Z12" s="166">
        <f t="shared" si="2"/>
        <v>17</v>
      </c>
      <c r="AA12" s="102">
        <f t="shared" si="3"/>
        <v>595</v>
      </c>
    </row>
    <row r="13" spans="1:27">
      <c r="A13" s="108">
        <v>5</v>
      </c>
      <c r="B13" s="158" t="s">
        <v>407</v>
      </c>
      <c r="C13" s="159" t="s">
        <v>30</v>
      </c>
      <c r="D13" s="158"/>
      <c r="E13" s="158"/>
      <c r="F13" s="159"/>
      <c r="G13" s="319">
        <v>1</v>
      </c>
      <c r="H13" s="319">
        <v>1</v>
      </c>
      <c r="I13" s="121"/>
      <c r="J13" s="121"/>
      <c r="K13" s="319">
        <v>1</v>
      </c>
      <c r="L13" s="319">
        <v>1</v>
      </c>
      <c r="M13" s="319">
        <v>1</v>
      </c>
      <c r="N13" s="319">
        <v>1</v>
      </c>
      <c r="O13" s="350">
        <v>1</v>
      </c>
      <c r="P13" s="350">
        <v>1</v>
      </c>
      <c r="Q13" s="350">
        <v>1</v>
      </c>
      <c r="R13" s="350">
        <v>1</v>
      </c>
      <c r="S13" s="121"/>
      <c r="T13" s="350">
        <v>1</v>
      </c>
      <c r="U13" s="121"/>
      <c r="V13" s="353">
        <v>1</v>
      </c>
      <c r="W13" s="121"/>
      <c r="X13" s="350">
        <v>1</v>
      </c>
      <c r="Y13" s="350"/>
      <c r="Z13" s="166">
        <f t="shared" si="2"/>
        <v>13</v>
      </c>
      <c r="AA13" s="102">
        <f t="shared" si="3"/>
        <v>455</v>
      </c>
    </row>
    <row r="14" spans="1:27" ht="15.75" customHeight="1">
      <c r="A14" s="155">
        <v>6</v>
      </c>
      <c r="B14" s="108" t="s">
        <v>423</v>
      </c>
      <c r="C14" s="111" t="s">
        <v>31</v>
      </c>
      <c r="D14" s="133"/>
      <c r="E14" s="133"/>
      <c r="F14" s="385" t="s">
        <v>697</v>
      </c>
      <c r="G14" s="320">
        <v>1</v>
      </c>
      <c r="H14" s="320">
        <v>1</v>
      </c>
      <c r="I14" s="95"/>
      <c r="J14" s="319">
        <v>1</v>
      </c>
      <c r="K14" s="319">
        <v>1</v>
      </c>
      <c r="L14" s="320">
        <v>1</v>
      </c>
      <c r="M14" s="320">
        <v>1</v>
      </c>
      <c r="N14" s="320">
        <v>1</v>
      </c>
      <c r="O14" s="320">
        <v>1</v>
      </c>
      <c r="P14" s="320">
        <v>1</v>
      </c>
      <c r="Q14" s="320">
        <v>1</v>
      </c>
      <c r="R14" s="320">
        <v>1</v>
      </c>
      <c r="S14" s="320">
        <v>1</v>
      </c>
      <c r="T14" s="320">
        <v>1</v>
      </c>
      <c r="U14" s="320">
        <v>1</v>
      </c>
      <c r="V14" s="321">
        <v>1</v>
      </c>
      <c r="W14" s="320">
        <v>1</v>
      </c>
      <c r="X14" s="320">
        <v>1</v>
      </c>
      <c r="Y14" s="322"/>
      <c r="Z14" s="166">
        <f t="shared" si="2"/>
        <v>17</v>
      </c>
      <c r="AA14" s="102">
        <f t="shared" si="3"/>
        <v>595</v>
      </c>
    </row>
    <row r="15" spans="1:27" ht="15.75" customHeight="1">
      <c r="A15" s="108">
        <v>7</v>
      </c>
      <c r="B15" s="108" t="s">
        <v>424</v>
      </c>
      <c r="C15" s="111" t="s">
        <v>30</v>
      </c>
      <c r="D15" s="133"/>
      <c r="E15" s="133"/>
      <c r="F15" s="123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3"/>
      <c r="W15" s="282"/>
      <c r="X15" s="282"/>
      <c r="Y15" s="282"/>
      <c r="Z15" s="166">
        <f t="shared" si="2"/>
        <v>0</v>
      </c>
      <c r="AA15" s="102">
        <f t="shared" si="3"/>
        <v>0</v>
      </c>
    </row>
    <row r="16" spans="1:27" ht="15.75" customHeight="1">
      <c r="A16" s="155">
        <v>8</v>
      </c>
      <c r="B16" s="108" t="s">
        <v>665</v>
      </c>
      <c r="C16" s="111" t="s">
        <v>31</v>
      </c>
      <c r="D16" s="133"/>
      <c r="E16" s="133"/>
      <c r="F16" s="123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3"/>
      <c r="W16" s="282"/>
      <c r="X16" s="282"/>
      <c r="Y16" s="282"/>
      <c r="Z16" s="166">
        <f t="shared" si="2"/>
        <v>0</v>
      </c>
      <c r="AA16" s="102">
        <f t="shared" si="3"/>
        <v>0</v>
      </c>
    </row>
    <row r="17" spans="1:27" ht="15.75" customHeight="1">
      <c r="A17" s="108">
        <v>9</v>
      </c>
      <c r="B17" s="120" t="s">
        <v>425</v>
      </c>
      <c r="C17" s="121" t="s">
        <v>31</v>
      </c>
      <c r="D17" s="133"/>
      <c r="E17" s="133"/>
      <c r="F17" s="187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3"/>
      <c r="W17" s="282"/>
      <c r="X17" s="282"/>
      <c r="Y17" s="282"/>
      <c r="Z17" s="166">
        <f t="shared" si="2"/>
        <v>0</v>
      </c>
      <c r="AA17" s="102">
        <f t="shared" si="3"/>
        <v>0</v>
      </c>
    </row>
    <row r="18" spans="1:27" ht="15.75" customHeight="1">
      <c r="A18" s="155">
        <v>10</v>
      </c>
      <c r="B18" s="120" t="s">
        <v>426</v>
      </c>
      <c r="C18" s="121" t="s">
        <v>31</v>
      </c>
      <c r="D18" s="133"/>
      <c r="E18" s="133"/>
      <c r="F18" s="246" t="s">
        <v>722</v>
      </c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3"/>
      <c r="W18" s="282"/>
      <c r="X18" s="282"/>
      <c r="Y18" s="282"/>
      <c r="Z18" s="166">
        <f t="shared" si="2"/>
        <v>0</v>
      </c>
      <c r="AA18" s="102">
        <f t="shared" si="3"/>
        <v>0</v>
      </c>
    </row>
    <row r="19" spans="1:27" ht="15.75" customHeight="1">
      <c r="A19" s="108">
        <v>11</v>
      </c>
      <c r="B19" s="190" t="s">
        <v>427</v>
      </c>
      <c r="C19" s="121" t="s">
        <v>31</v>
      </c>
      <c r="D19" s="133"/>
      <c r="E19" s="133"/>
      <c r="F19" s="123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3"/>
      <c r="W19" s="282"/>
      <c r="X19" s="282"/>
      <c r="Y19" s="282"/>
      <c r="Z19" s="166">
        <f t="shared" si="2"/>
        <v>0</v>
      </c>
      <c r="AA19" s="102">
        <f t="shared" si="3"/>
        <v>0</v>
      </c>
    </row>
    <row r="20" spans="1:27" ht="15.75" customHeight="1">
      <c r="A20" s="155">
        <v>12</v>
      </c>
      <c r="B20" s="180" t="s">
        <v>623</v>
      </c>
      <c r="C20" s="121" t="s">
        <v>562</v>
      </c>
      <c r="D20" s="133"/>
      <c r="E20" s="133"/>
      <c r="F20" s="123"/>
      <c r="G20" s="282"/>
      <c r="H20" s="320">
        <v>1</v>
      </c>
      <c r="I20" s="282"/>
      <c r="J20" s="282"/>
      <c r="K20" s="282"/>
      <c r="L20" s="282"/>
      <c r="M20" s="320">
        <v>1</v>
      </c>
      <c r="N20" s="320">
        <v>1</v>
      </c>
      <c r="O20" s="282"/>
      <c r="P20" s="320">
        <v>1</v>
      </c>
      <c r="Q20" s="282"/>
      <c r="R20" s="320">
        <v>1</v>
      </c>
      <c r="S20" s="320">
        <v>1</v>
      </c>
      <c r="T20" s="282"/>
      <c r="U20" s="320">
        <v>1</v>
      </c>
      <c r="V20" s="283"/>
      <c r="W20" s="320">
        <v>1</v>
      </c>
      <c r="X20" s="320">
        <v>1</v>
      </c>
      <c r="Y20" s="282"/>
      <c r="Z20" s="166">
        <f t="shared" si="2"/>
        <v>9</v>
      </c>
      <c r="AA20" s="102">
        <f t="shared" si="3"/>
        <v>315</v>
      </c>
    </row>
    <row r="21" spans="1:27" ht="15.75" customHeight="1">
      <c r="A21" s="108">
        <v>13</v>
      </c>
      <c r="B21" s="184" t="s">
        <v>261</v>
      </c>
      <c r="C21" s="123" t="s">
        <v>30</v>
      </c>
      <c r="D21" s="133"/>
      <c r="E21" s="133"/>
      <c r="F21" s="123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3"/>
      <c r="W21" s="282"/>
      <c r="X21" s="282"/>
      <c r="Y21" s="282"/>
      <c r="Z21" s="166">
        <f t="shared" si="2"/>
        <v>0</v>
      </c>
      <c r="AA21" s="102">
        <f t="shared" si="3"/>
        <v>0</v>
      </c>
    </row>
    <row r="22" spans="1:27" ht="15.75" customHeight="1">
      <c r="A22" s="155">
        <v>14</v>
      </c>
      <c r="B22" s="180" t="s">
        <v>25</v>
      </c>
      <c r="C22" s="121" t="s">
        <v>31</v>
      </c>
      <c r="D22" s="188"/>
      <c r="E22" s="188"/>
      <c r="F22" s="189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3"/>
      <c r="W22" s="282"/>
      <c r="X22" s="282"/>
      <c r="Y22" s="282"/>
      <c r="Z22" s="166">
        <f t="shared" si="2"/>
        <v>0</v>
      </c>
      <c r="AA22" s="102">
        <f t="shared" si="3"/>
        <v>0</v>
      </c>
    </row>
    <row r="23" spans="1:27" ht="15.75" customHeight="1">
      <c r="A23" s="108">
        <v>15</v>
      </c>
      <c r="B23" s="56" t="s">
        <v>428</v>
      </c>
      <c r="C23" s="112" t="s">
        <v>30</v>
      </c>
      <c r="D23" s="185"/>
      <c r="E23" s="185"/>
      <c r="F23" s="186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5"/>
      <c r="W23" s="282"/>
      <c r="X23" s="282"/>
      <c r="Y23" s="282"/>
      <c r="Z23" s="166">
        <f t="shared" si="2"/>
        <v>0</v>
      </c>
      <c r="AA23" s="102">
        <f t="shared" si="3"/>
        <v>0</v>
      </c>
    </row>
    <row r="24" spans="1:27" ht="15.75" customHeight="1">
      <c r="A24" s="155">
        <v>16</v>
      </c>
      <c r="B24" s="56" t="s">
        <v>191</v>
      </c>
      <c r="C24" s="112" t="s">
        <v>562</v>
      </c>
      <c r="D24" s="185"/>
      <c r="E24" s="185"/>
      <c r="F24" s="252" t="s">
        <v>461</v>
      </c>
      <c r="G24" s="284"/>
      <c r="H24" s="387">
        <v>1</v>
      </c>
      <c r="I24" s="284"/>
      <c r="J24" s="387">
        <v>1</v>
      </c>
      <c r="K24" s="387">
        <v>1</v>
      </c>
      <c r="L24" s="387">
        <v>1</v>
      </c>
      <c r="M24" s="387">
        <v>0</v>
      </c>
      <c r="N24" s="387">
        <v>1</v>
      </c>
      <c r="O24" s="408">
        <v>1</v>
      </c>
      <c r="P24" s="514">
        <v>1</v>
      </c>
      <c r="Q24" s="514">
        <v>1</v>
      </c>
      <c r="R24" s="514">
        <v>1</v>
      </c>
      <c r="S24" s="514">
        <v>1</v>
      </c>
      <c r="T24" s="420"/>
      <c r="U24" s="514">
        <v>1</v>
      </c>
      <c r="V24" s="515"/>
      <c r="W24" s="320">
        <v>1</v>
      </c>
      <c r="X24" s="320">
        <v>1</v>
      </c>
      <c r="Y24" s="322"/>
      <c r="Z24" s="166">
        <f t="shared" si="2"/>
        <v>13</v>
      </c>
      <c r="AA24" s="102">
        <f t="shared" si="3"/>
        <v>455</v>
      </c>
    </row>
    <row r="25" spans="1:27" ht="15.75" customHeight="1">
      <c r="A25" s="108">
        <v>17</v>
      </c>
      <c r="B25" s="51" t="s">
        <v>82</v>
      </c>
      <c r="C25" s="60" t="s">
        <v>509</v>
      </c>
      <c r="D25" s="79"/>
      <c r="E25" s="79"/>
      <c r="F25" s="94"/>
      <c r="G25" s="354">
        <v>1</v>
      </c>
      <c r="H25" s="355">
        <v>1</v>
      </c>
      <c r="I25" s="354"/>
      <c r="J25" s="354">
        <v>1</v>
      </c>
      <c r="K25" s="354">
        <v>1</v>
      </c>
      <c r="L25" s="354">
        <v>1</v>
      </c>
      <c r="M25" s="354">
        <v>1</v>
      </c>
      <c r="N25" s="370">
        <v>1</v>
      </c>
      <c r="O25" s="320">
        <v>1</v>
      </c>
      <c r="P25" s="320">
        <v>1</v>
      </c>
      <c r="Q25" s="320">
        <v>1</v>
      </c>
      <c r="R25" s="320">
        <v>1</v>
      </c>
      <c r="S25" s="320">
        <v>1</v>
      </c>
      <c r="T25" s="320">
        <v>1</v>
      </c>
      <c r="U25" s="320">
        <v>1</v>
      </c>
      <c r="V25" s="320">
        <v>1</v>
      </c>
      <c r="W25" s="320">
        <v>1</v>
      </c>
      <c r="X25" s="320">
        <v>1</v>
      </c>
      <c r="Y25" s="320"/>
      <c r="Z25" s="166">
        <f t="shared" si="2"/>
        <v>17</v>
      </c>
      <c r="AA25" s="102">
        <f t="shared" si="3"/>
        <v>595</v>
      </c>
    </row>
    <row r="26" spans="1:27" ht="15.75" customHeight="1">
      <c r="A26" s="155">
        <v>18</v>
      </c>
      <c r="B26" s="51" t="s">
        <v>582</v>
      </c>
      <c r="C26" s="60" t="s">
        <v>509</v>
      </c>
      <c r="D26" s="79"/>
      <c r="E26" s="79"/>
      <c r="F26" s="94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68"/>
      <c r="X26" s="168"/>
      <c r="Y26" s="168"/>
      <c r="Z26" s="166">
        <f t="shared" si="2"/>
        <v>0</v>
      </c>
      <c r="AA26" s="102">
        <f t="shared" si="3"/>
        <v>0</v>
      </c>
    </row>
    <row r="27" spans="1:27" ht="15.75" customHeight="1">
      <c r="A27" s="108">
        <v>19</v>
      </c>
      <c r="B27" s="51" t="s">
        <v>429</v>
      </c>
      <c r="C27" s="60" t="s">
        <v>30</v>
      </c>
      <c r="D27" s="79"/>
      <c r="E27" s="79"/>
      <c r="F27" s="384" t="s">
        <v>672</v>
      </c>
      <c r="G27" s="314">
        <v>1</v>
      </c>
      <c r="H27" s="314">
        <v>1</v>
      </c>
      <c r="I27" s="48"/>
      <c r="J27" s="314">
        <v>1</v>
      </c>
      <c r="K27" s="314">
        <v>1</v>
      </c>
      <c r="L27" s="314">
        <v>1</v>
      </c>
      <c r="M27" s="314">
        <v>1</v>
      </c>
      <c r="N27" s="314">
        <v>1</v>
      </c>
      <c r="O27" s="314">
        <v>1</v>
      </c>
      <c r="P27" s="48"/>
      <c r="Q27" s="48"/>
      <c r="R27" s="48"/>
      <c r="S27" s="48"/>
      <c r="T27" s="314">
        <v>1</v>
      </c>
      <c r="U27" s="314">
        <v>1</v>
      </c>
      <c r="V27" s="314">
        <v>1</v>
      </c>
      <c r="W27" s="315">
        <v>1</v>
      </c>
      <c r="X27" s="315">
        <v>1</v>
      </c>
      <c r="Y27" s="369"/>
      <c r="Z27" s="166">
        <f t="shared" si="2"/>
        <v>13</v>
      </c>
      <c r="AA27" s="102">
        <f t="shared" si="3"/>
        <v>455</v>
      </c>
    </row>
    <row r="28" spans="1:27">
      <c r="A28" s="155">
        <v>20</v>
      </c>
      <c r="B28" s="51" t="s">
        <v>153</v>
      </c>
      <c r="C28" s="52" t="s">
        <v>30</v>
      </c>
      <c r="D28" s="93"/>
      <c r="E28" s="152"/>
      <c r="F28" s="231" t="s">
        <v>642</v>
      </c>
      <c r="G28" s="314">
        <v>1</v>
      </c>
      <c r="H28" s="314">
        <v>1</v>
      </c>
      <c r="I28" s="48"/>
      <c r="J28" s="314">
        <v>1</v>
      </c>
      <c r="K28" s="314">
        <v>1</v>
      </c>
      <c r="L28" s="314">
        <v>1</v>
      </c>
      <c r="M28" s="314">
        <v>1</v>
      </c>
      <c r="N28" s="314">
        <v>1</v>
      </c>
      <c r="O28" s="314">
        <v>1</v>
      </c>
      <c r="P28" s="314">
        <v>1</v>
      </c>
      <c r="Q28" s="314">
        <v>1</v>
      </c>
      <c r="R28" s="314">
        <v>0</v>
      </c>
      <c r="S28" s="314">
        <v>1</v>
      </c>
      <c r="T28" s="314">
        <v>1</v>
      </c>
      <c r="U28" s="314">
        <v>1</v>
      </c>
      <c r="V28" s="314">
        <v>1</v>
      </c>
      <c r="W28" s="315">
        <v>1</v>
      </c>
      <c r="X28" s="315">
        <v>1</v>
      </c>
      <c r="Y28" s="315"/>
      <c r="Z28" s="166">
        <f t="shared" si="2"/>
        <v>16</v>
      </c>
      <c r="AA28" s="102">
        <f t="shared" si="3"/>
        <v>560</v>
      </c>
    </row>
    <row r="29" spans="1:27">
      <c r="A29" s="108">
        <v>21</v>
      </c>
      <c r="B29" s="51" t="s">
        <v>631</v>
      </c>
      <c r="C29" s="52" t="s">
        <v>30</v>
      </c>
      <c r="D29" s="93"/>
      <c r="E29" s="152"/>
      <c r="F29" s="397" t="s">
        <v>643</v>
      </c>
      <c r="G29" s="262"/>
      <c r="H29" s="262"/>
      <c r="I29" s="48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88"/>
      <c r="X29" s="288"/>
      <c r="Y29" s="288"/>
      <c r="Z29" s="166">
        <f t="shared" si="2"/>
        <v>0</v>
      </c>
      <c r="AA29" s="102">
        <f t="shared" si="3"/>
        <v>0</v>
      </c>
    </row>
    <row r="30" spans="1:27">
      <c r="A30" s="155">
        <v>22</v>
      </c>
      <c r="B30" s="51" t="s">
        <v>157</v>
      </c>
      <c r="C30" s="52" t="s">
        <v>30</v>
      </c>
      <c r="D30" s="93"/>
      <c r="E30" s="152"/>
      <c r="F30" s="208" t="s">
        <v>703</v>
      </c>
      <c r="G30" s="314">
        <v>1</v>
      </c>
      <c r="H30" s="48"/>
      <c r="I30" s="48"/>
      <c r="J30" s="314">
        <v>1</v>
      </c>
      <c r="K30" s="314">
        <v>1</v>
      </c>
      <c r="L30" s="314">
        <v>1</v>
      </c>
      <c r="M30" s="314">
        <v>1</v>
      </c>
      <c r="N30" s="314">
        <v>1</v>
      </c>
      <c r="O30" s="314">
        <v>1</v>
      </c>
      <c r="P30" s="314">
        <v>1</v>
      </c>
      <c r="Q30" s="314">
        <v>1</v>
      </c>
      <c r="R30" s="314">
        <v>1</v>
      </c>
      <c r="S30" s="314">
        <v>1</v>
      </c>
      <c r="T30" s="314">
        <v>1</v>
      </c>
      <c r="U30" s="314">
        <v>1</v>
      </c>
      <c r="V30" s="314">
        <v>1</v>
      </c>
      <c r="W30" s="315">
        <v>1</v>
      </c>
      <c r="X30" s="315">
        <v>1</v>
      </c>
      <c r="Y30" s="323"/>
      <c r="Z30" s="166">
        <f t="shared" si="2"/>
        <v>16</v>
      </c>
      <c r="AA30" s="102">
        <f t="shared" si="3"/>
        <v>560</v>
      </c>
    </row>
    <row r="31" spans="1:27">
      <c r="A31" s="108">
        <v>23</v>
      </c>
      <c r="B31" s="51" t="s">
        <v>674</v>
      </c>
      <c r="C31" s="52" t="s">
        <v>30</v>
      </c>
      <c r="D31" s="93"/>
      <c r="E31" s="152"/>
      <c r="F31" s="121"/>
      <c r="G31" s="314">
        <v>1</v>
      </c>
      <c r="H31" s="314">
        <v>1</v>
      </c>
      <c r="I31" s="48"/>
      <c r="J31" s="314">
        <v>1</v>
      </c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88"/>
      <c r="X31" s="288"/>
      <c r="Y31" s="288"/>
      <c r="Z31" s="166">
        <f t="shared" si="2"/>
        <v>3</v>
      </c>
      <c r="AA31" s="102">
        <f t="shared" si="3"/>
        <v>105</v>
      </c>
    </row>
    <row r="32" spans="1:27">
      <c r="A32" s="155">
        <v>24</v>
      </c>
      <c r="B32" s="51" t="s">
        <v>558</v>
      </c>
      <c r="C32" s="52" t="s">
        <v>509</v>
      </c>
      <c r="D32" s="93"/>
      <c r="E32" s="152"/>
      <c r="F32" s="95"/>
      <c r="G32" s="314">
        <v>1</v>
      </c>
      <c r="H32" s="314">
        <v>1</v>
      </c>
      <c r="I32" s="48"/>
      <c r="J32" s="314">
        <v>1</v>
      </c>
      <c r="K32" s="314">
        <v>1</v>
      </c>
      <c r="L32" s="314">
        <v>1</v>
      </c>
      <c r="M32" s="314">
        <v>1</v>
      </c>
      <c r="N32" s="314">
        <v>1</v>
      </c>
      <c r="O32" s="48"/>
      <c r="P32" s="48"/>
      <c r="Q32" s="48"/>
      <c r="R32" s="48"/>
      <c r="S32" s="48"/>
      <c r="T32" s="48"/>
      <c r="U32" s="48"/>
      <c r="V32" s="48"/>
      <c r="W32" s="369"/>
      <c r="X32" s="369"/>
      <c r="Y32" s="369"/>
      <c r="Z32" s="166">
        <f t="shared" si="2"/>
        <v>7</v>
      </c>
      <c r="AA32" s="102">
        <f t="shared" si="3"/>
        <v>245</v>
      </c>
    </row>
    <row r="33" spans="1:27" ht="15.75" customHeight="1">
      <c r="A33" s="108">
        <v>25</v>
      </c>
      <c r="B33" s="56" t="s">
        <v>27</v>
      </c>
      <c r="C33" s="57" t="s">
        <v>31</v>
      </c>
      <c r="D33" s="167"/>
      <c r="E33" s="165"/>
      <c r="F33" s="211" t="s">
        <v>461</v>
      </c>
      <c r="G33" s="314">
        <v>1</v>
      </c>
      <c r="H33" s="314">
        <v>1</v>
      </c>
      <c r="I33" s="48"/>
      <c r="J33" s="314">
        <v>1</v>
      </c>
      <c r="K33" s="314">
        <v>1</v>
      </c>
      <c r="L33" s="314">
        <v>1</v>
      </c>
      <c r="M33" s="314">
        <v>1</v>
      </c>
      <c r="N33" s="314">
        <v>1</v>
      </c>
      <c r="O33" s="314">
        <v>1</v>
      </c>
      <c r="P33" s="314">
        <v>1</v>
      </c>
      <c r="Q33" s="314">
        <v>1</v>
      </c>
      <c r="R33" s="314">
        <v>1</v>
      </c>
      <c r="S33" s="314">
        <v>1</v>
      </c>
      <c r="T33" s="314">
        <v>1</v>
      </c>
      <c r="U33" s="314">
        <v>1</v>
      </c>
      <c r="V33" s="314">
        <v>1</v>
      </c>
      <c r="W33" s="315">
        <v>1</v>
      </c>
      <c r="X33" s="315">
        <v>1</v>
      </c>
      <c r="Y33" s="323"/>
      <c r="Z33" s="166">
        <f t="shared" si="2"/>
        <v>17</v>
      </c>
      <c r="AA33" s="102">
        <f t="shared" si="3"/>
        <v>595</v>
      </c>
    </row>
    <row r="34" spans="1:27">
      <c r="A34" s="155">
        <v>26</v>
      </c>
      <c r="B34" s="56" t="s">
        <v>280</v>
      </c>
      <c r="C34" s="57" t="s">
        <v>31</v>
      </c>
      <c r="D34" s="84"/>
      <c r="E34" s="150"/>
      <c r="F34" s="168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88"/>
      <c r="X34" s="288"/>
      <c r="Y34" s="288"/>
      <c r="Z34" s="166">
        <f t="shared" si="2"/>
        <v>0</v>
      </c>
      <c r="AA34" s="102">
        <f t="shared" si="3"/>
        <v>0</v>
      </c>
    </row>
    <row r="35" spans="1:27">
      <c r="A35" s="108">
        <v>27</v>
      </c>
      <c r="B35" s="56" t="s">
        <v>411</v>
      </c>
      <c r="C35" s="57" t="s">
        <v>562</v>
      </c>
      <c r="D35" s="84"/>
      <c r="E35" s="150"/>
      <c r="F35" s="157"/>
      <c r="G35" s="314">
        <v>1</v>
      </c>
      <c r="H35" s="314">
        <v>1</v>
      </c>
      <c r="I35" s="262"/>
      <c r="J35" s="314">
        <v>1</v>
      </c>
      <c r="K35" s="262"/>
      <c r="L35" s="314">
        <v>1</v>
      </c>
      <c r="M35" s="262"/>
      <c r="N35" s="262"/>
      <c r="O35" s="262"/>
      <c r="P35" s="314">
        <v>1</v>
      </c>
      <c r="Q35" s="314">
        <v>1</v>
      </c>
      <c r="R35" s="262"/>
      <c r="S35" s="314">
        <v>1</v>
      </c>
      <c r="T35" s="314">
        <v>1</v>
      </c>
      <c r="U35" s="314">
        <v>1</v>
      </c>
      <c r="V35" s="314">
        <v>1</v>
      </c>
      <c r="W35" s="288"/>
      <c r="X35" s="315">
        <v>1</v>
      </c>
      <c r="Y35" s="288"/>
      <c r="Z35" s="166">
        <f t="shared" si="2"/>
        <v>11</v>
      </c>
      <c r="AA35" s="102">
        <f t="shared" si="3"/>
        <v>385</v>
      </c>
    </row>
    <row r="36" spans="1:27">
      <c r="A36" s="155">
        <v>28</v>
      </c>
      <c r="B36" s="56" t="s">
        <v>154</v>
      </c>
      <c r="C36" s="50" t="s">
        <v>30</v>
      </c>
      <c r="D36" s="84"/>
      <c r="E36" s="68"/>
      <c r="F36" s="143" t="s">
        <v>697</v>
      </c>
      <c r="G36" s="314">
        <v>1</v>
      </c>
      <c r="H36" s="314">
        <v>1</v>
      </c>
      <c r="I36" s="48"/>
      <c r="J36" s="314">
        <v>1</v>
      </c>
      <c r="K36" s="314">
        <v>1</v>
      </c>
      <c r="L36" s="314">
        <v>1</v>
      </c>
      <c r="M36" s="314">
        <v>1</v>
      </c>
      <c r="N36" s="314">
        <v>1</v>
      </c>
      <c r="O36" s="314">
        <v>1</v>
      </c>
      <c r="P36" s="314">
        <v>1</v>
      </c>
      <c r="Q36" s="314">
        <v>1</v>
      </c>
      <c r="R36" s="314">
        <v>1</v>
      </c>
      <c r="S36" s="314">
        <v>1</v>
      </c>
      <c r="T36" s="316">
        <v>1</v>
      </c>
      <c r="U36" s="316">
        <v>1</v>
      </c>
      <c r="V36" s="316">
        <v>1</v>
      </c>
      <c r="W36" s="323">
        <v>1</v>
      </c>
      <c r="X36" s="323">
        <v>1</v>
      </c>
      <c r="Y36" s="323"/>
      <c r="Z36" s="166">
        <f t="shared" si="2"/>
        <v>17</v>
      </c>
      <c r="AA36" s="102">
        <f t="shared" si="3"/>
        <v>595</v>
      </c>
    </row>
    <row r="37" spans="1:27">
      <c r="A37" s="108">
        <v>29</v>
      </c>
      <c r="B37" s="56" t="s">
        <v>662</v>
      </c>
      <c r="C37" s="50" t="s">
        <v>28</v>
      </c>
      <c r="D37" s="84"/>
      <c r="E37" s="68"/>
      <c r="F37" s="101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88"/>
      <c r="X37" s="288"/>
      <c r="Y37" s="288"/>
      <c r="Z37" s="166">
        <f t="shared" si="2"/>
        <v>0</v>
      </c>
      <c r="AA37" s="102">
        <f t="shared" si="3"/>
        <v>0</v>
      </c>
    </row>
    <row r="38" spans="1:27">
      <c r="A38" s="155">
        <v>30</v>
      </c>
      <c r="B38" s="56" t="s">
        <v>681</v>
      </c>
      <c r="C38" s="50" t="s">
        <v>31</v>
      </c>
      <c r="D38" s="84"/>
      <c r="E38" s="68"/>
      <c r="F38" s="101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88"/>
      <c r="X38" s="288"/>
      <c r="Y38" s="288"/>
      <c r="Z38" s="166">
        <f t="shared" si="2"/>
        <v>0</v>
      </c>
      <c r="AA38" s="102">
        <f t="shared" si="3"/>
        <v>0</v>
      </c>
    </row>
    <row r="39" spans="1:27">
      <c r="A39" s="108">
        <v>31</v>
      </c>
      <c r="B39" s="51" t="s">
        <v>92</v>
      </c>
      <c r="C39" s="60" t="s">
        <v>31</v>
      </c>
      <c r="D39" s="84"/>
      <c r="E39" s="68"/>
      <c r="F39" s="101"/>
      <c r="G39" s="314">
        <v>1</v>
      </c>
      <c r="H39" s="48"/>
      <c r="I39" s="262"/>
      <c r="J39" s="314">
        <v>1</v>
      </c>
      <c r="K39" s="48"/>
      <c r="L39" s="262"/>
      <c r="M39" s="262"/>
      <c r="N39" s="262"/>
      <c r="O39" s="314">
        <v>1</v>
      </c>
      <c r="P39" s="314">
        <v>1</v>
      </c>
      <c r="Q39" s="314">
        <v>1</v>
      </c>
      <c r="R39" s="262"/>
      <c r="S39" s="262"/>
      <c r="T39" s="314">
        <v>1</v>
      </c>
      <c r="U39" s="262"/>
      <c r="V39" s="314">
        <v>1</v>
      </c>
      <c r="W39" s="315">
        <v>1</v>
      </c>
      <c r="X39" s="288"/>
      <c r="Y39" s="288"/>
      <c r="Z39" s="166">
        <f t="shared" si="2"/>
        <v>8</v>
      </c>
      <c r="AA39" s="102">
        <f t="shared" si="3"/>
        <v>280</v>
      </c>
    </row>
    <row r="40" spans="1:27">
      <c r="A40" s="155">
        <v>32</v>
      </c>
      <c r="B40" s="51" t="s">
        <v>132</v>
      </c>
      <c r="C40" s="60" t="s">
        <v>31</v>
      </c>
      <c r="D40" s="68"/>
      <c r="E40" s="68"/>
      <c r="F40" s="90"/>
      <c r="G40" s="314">
        <v>1</v>
      </c>
      <c r="H40" s="314">
        <v>1</v>
      </c>
      <c r="I40" s="48"/>
      <c r="J40" s="314">
        <v>1</v>
      </c>
      <c r="K40" s="314">
        <v>1</v>
      </c>
      <c r="L40" s="314">
        <v>1</v>
      </c>
      <c r="M40" s="314">
        <v>1</v>
      </c>
      <c r="N40" s="314">
        <v>1</v>
      </c>
      <c r="O40" s="314">
        <v>1</v>
      </c>
      <c r="P40" s="314">
        <v>1</v>
      </c>
      <c r="Q40" s="314">
        <v>1</v>
      </c>
      <c r="R40" s="314">
        <v>1</v>
      </c>
      <c r="S40" s="48"/>
      <c r="T40" s="48"/>
      <c r="U40" s="316">
        <v>1</v>
      </c>
      <c r="V40" s="316">
        <v>1</v>
      </c>
      <c r="W40" s="323">
        <v>1</v>
      </c>
      <c r="X40" s="323">
        <v>1</v>
      </c>
      <c r="Y40" s="323"/>
      <c r="Z40" s="166">
        <f t="shared" si="2"/>
        <v>15</v>
      </c>
      <c r="AA40" s="102">
        <f t="shared" si="3"/>
        <v>525</v>
      </c>
    </row>
    <row r="41" spans="1:27" ht="15.75" customHeight="1">
      <c r="A41" s="108">
        <v>33</v>
      </c>
      <c r="B41" s="120" t="s">
        <v>275</v>
      </c>
      <c r="C41" s="121" t="s">
        <v>30</v>
      </c>
      <c r="D41" s="165"/>
      <c r="E41" s="165"/>
      <c r="F41" s="166"/>
      <c r="G41" s="314">
        <v>1</v>
      </c>
      <c r="H41" s="314">
        <v>1</v>
      </c>
      <c r="I41" s="262"/>
      <c r="J41" s="314">
        <v>1</v>
      </c>
      <c r="K41" s="262"/>
      <c r="L41" s="262"/>
      <c r="M41" s="314">
        <v>1</v>
      </c>
      <c r="N41" s="262"/>
      <c r="O41" s="316">
        <v>1</v>
      </c>
      <c r="P41" s="262"/>
      <c r="Q41" s="262"/>
      <c r="R41" s="262"/>
      <c r="S41" s="316">
        <v>1</v>
      </c>
      <c r="T41" s="262"/>
      <c r="U41" s="262"/>
      <c r="V41" s="288"/>
      <c r="W41" s="288"/>
      <c r="X41" s="288"/>
      <c r="Y41" s="262"/>
      <c r="Z41" s="166">
        <f t="shared" si="2"/>
        <v>6</v>
      </c>
      <c r="AA41" s="102">
        <f t="shared" si="3"/>
        <v>210</v>
      </c>
    </row>
    <row r="42" spans="1:27" ht="15.75" customHeight="1">
      <c r="A42" s="155">
        <v>34</v>
      </c>
      <c r="B42" s="120" t="s">
        <v>192</v>
      </c>
      <c r="C42" s="121" t="s">
        <v>28</v>
      </c>
      <c r="D42" s="165"/>
      <c r="E42" s="165"/>
      <c r="F42" s="166"/>
      <c r="G42" s="356">
        <v>1</v>
      </c>
      <c r="H42" s="356">
        <v>1</v>
      </c>
      <c r="I42" s="361"/>
      <c r="J42" s="356">
        <v>1</v>
      </c>
      <c r="K42" s="356">
        <v>1</v>
      </c>
      <c r="L42" s="356">
        <v>1</v>
      </c>
      <c r="M42" s="356">
        <v>1</v>
      </c>
      <c r="N42" s="356">
        <v>1</v>
      </c>
      <c r="O42" s="314">
        <v>1</v>
      </c>
      <c r="P42" s="314">
        <v>1</v>
      </c>
      <c r="Q42" s="314">
        <v>1</v>
      </c>
      <c r="R42" s="314">
        <v>1</v>
      </c>
      <c r="S42" s="314">
        <v>1</v>
      </c>
      <c r="T42" s="316">
        <v>1</v>
      </c>
      <c r="U42" s="316">
        <v>1</v>
      </c>
      <c r="V42" s="323">
        <v>1</v>
      </c>
      <c r="W42" s="323">
        <v>1</v>
      </c>
      <c r="X42" s="323">
        <v>1</v>
      </c>
      <c r="Y42" s="316"/>
      <c r="Z42" s="166">
        <f t="shared" si="2"/>
        <v>17</v>
      </c>
      <c r="AA42" s="102">
        <f t="shared" si="3"/>
        <v>595</v>
      </c>
    </row>
    <row r="43" spans="1:27" ht="15.75" customHeight="1">
      <c r="A43" s="108">
        <v>35</v>
      </c>
      <c r="B43" s="162" t="s">
        <v>197</v>
      </c>
      <c r="C43" s="163" t="s">
        <v>30</v>
      </c>
      <c r="D43" s="164"/>
      <c r="E43" s="164"/>
      <c r="F43" s="362" t="s">
        <v>735</v>
      </c>
      <c r="G43" s="356">
        <v>1</v>
      </c>
      <c r="H43" s="356">
        <v>1</v>
      </c>
      <c r="I43" s="361"/>
      <c r="J43" s="356">
        <v>1</v>
      </c>
      <c r="K43" s="356">
        <v>1</v>
      </c>
      <c r="L43" s="356">
        <v>1</v>
      </c>
      <c r="M43" s="356">
        <v>1</v>
      </c>
      <c r="N43" s="356">
        <v>1</v>
      </c>
      <c r="O43" s="314">
        <v>1</v>
      </c>
      <c r="P43" s="314">
        <v>1</v>
      </c>
      <c r="Q43" s="314">
        <v>1</v>
      </c>
      <c r="R43" s="314">
        <v>1</v>
      </c>
      <c r="S43" s="314">
        <v>1</v>
      </c>
      <c r="T43" s="316">
        <v>1</v>
      </c>
      <c r="U43" s="316">
        <v>1</v>
      </c>
      <c r="V43" s="323">
        <v>1</v>
      </c>
      <c r="W43" s="323">
        <v>1</v>
      </c>
      <c r="X43" s="323">
        <v>1</v>
      </c>
      <c r="Y43" s="316"/>
      <c r="Z43" s="166">
        <f t="shared" si="2"/>
        <v>17</v>
      </c>
      <c r="AA43" s="102">
        <f t="shared" si="3"/>
        <v>595</v>
      </c>
    </row>
    <row r="44" spans="1:27" ht="15.75" customHeight="1">
      <c r="A44" s="155">
        <v>36</v>
      </c>
      <c r="B44" s="56" t="s">
        <v>432</v>
      </c>
      <c r="C44" s="149" t="s">
        <v>31</v>
      </c>
      <c r="D44" s="152"/>
      <c r="E44" s="152"/>
      <c r="F44" s="121"/>
      <c r="G44" s="290"/>
      <c r="H44" s="290"/>
      <c r="I44" s="290"/>
      <c r="J44" s="290"/>
      <c r="K44" s="290"/>
      <c r="L44" s="290"/>
      <c r="M44" s="290"/>
      <c r="N44" s="290"/>
      <c r="O44" s="262"/>
      <c r="P44" s="262"/>
      <c r="Q44" s="262"/>
      <c r="R44" s="262"/>
      <c r="S44" s="262"/>
      <c r="T44" s="262"/>
      <c r="U44" s="262"/>
      <c r="V44" s="288"/>
      <c r="W44" s="288"/>
      <c r="X44" s="288"/>
      <c r="Y44" s="262"/>
      <c r="Z44" s="166">
        <f t="shared" si="2"/>
        <v>0</v>
      </c>
      <c r="AA44" s="102">
        <f t="shared" si="3"/>
        <v>0</v>
      </c>
    </row>
    <row r="45" spans="1:27" ht="15.75" customHeight="1">
      <c r="A45" s="108">
        <v>37</v>
      </c>
      <c r="B45" s="128" t="s">
        <v>590</v>
      </c>
      <c r="C45" s="235" t="s">
        <v>586</v>
      </c>
      <c r="D45" s="236"/>
      <c r="E45" s="236"/>
      <c r="F45" s="135"/>
      <c r="G45" s="290"/>
      <c r="H45" s="373">
        <v>1</v>
      </c>
      <c r="I45" s="290"/>
      <c r="J45" s="290"/>
      <c r="K45" s="290"/>
      <c r="L45" s="290"/>
      <c r="M45" s="290"/>
      <c r="N45" s="373">
        <v>1</v>
      </c>
      <c r="O45" s="262"/>
      <c r="P45" s="262"/>
      <c r="Q45" s="262"/>
      <c r="R45" s="262"/>
      <c r="S45" s="262"/>
      <c r="T45" s="314">
        <v>1</v>
      </c>
      <c r="U45" s="262"/>
      <c r="V45" s="288"/>
      <c r="W45" s="288"/>
      <c r="X45" s="288"/>
      <c r="Y45" s="262"/>
      <c r="Z45" s="166">
        <f t="shared" si="2"/>
        <v>3</v>
      </c>
      <c r="AA45" s="102">
        <f t="shared" si="3"/>
        <v>105</v>
      </c>
    </row>
    <row r="46" spans="1:27" ht="15.75" customHeight="1">
      <c r="A46" s="155">
        <v>38</v>
      </c>
      <c r="B46" s="120" t="s">
        <v>518</v>
      </c>
      <c r="C46" s="121" t="s">
        <v>31</v>
      </c>
      <c r="D46" s="152"/>
      <c r="E46" s="152"/>
      <c r="F46" s="121"/>
      <c r="G46" s="320">
        <v>1</v>
      </c>
      <c r="H46" s="320">
        <v>1</v>
      </c>
      <c r="I46" s="95"/>
      <c r="J46" s="320">
        <v>1</v>
      </c>
      <c r="K46" s="320">
        <v>1</v>
      </c>
      <c r="L46" s="320">
        <v>1</v>
      </c>
      <c r="M46" s="320">
        <v>1</v>
      </c>
      <c r="N46" s="320">
        <v>1</v>
      </c>
      <c r="O46" s="314">
        <v>1</v>
      </c>
      <c r="P46" s="314">
        <v>1</v>
      </c>
      <c r="Q46" s="314">
        <v>1</v>
      </c>
      <c r="R46" s="314">
        <v>1</v>
      </c>
      <c r="S46" s="314">
        <v>1</v>
      </c>
      <c r="T46" s="314">
        <v>1</v>
      </c>
      <c r="U46" s="314">
        <v>1</v>
      </c>
      <c r="V46" s="315">
        <v>1</v>
      </c>
      <c r="W46" s="315">
        <v>1</v>
      </c>
      <c r="X46" s="315">
        <v>1</v>
      </c>
      <c r="Y46" s="316"/>
      <c r="Z46" s="166">
        <f t="shared" si="2"/>
        <v>17</v>
      </c>
      <c r="AA46" s="102">
        <f t="shared" si="3"/>
        <v>595</v>
      </c>
    </row>
    <row r="47" spans="1:27" ht="15.75" customHeight="1">
      <c r="A47" s="108">
        <v>39</v>
      </c>
      <c r="B47" s="120" t="s">
        <v>694</v>
      </c>
      <c r="C47" s="121" t="s">
        <v>28</v>
      </c>
      <c r="D47" s="152"/>
      <c r="E47" s="152"/>
      <c r="F47" s="121"/>
      <c r="G47" s="320">
        <v>1</v>
      </c>
      <c r="H47" s="282"/>
      <c r="I47" s="282"/>
      <c r="J47" s="320">
        <v>1</v>
      </c>
      <c r="K47" s="320">
        <v>1</v>
      </c>
      <c r="L47" s="320">
        <v>1</v>
      </c>
      <c r="M47" s="282"/>
      <c r="N47" s="320">
        <v>1</v>
      </c>
      <c r="O47" s="314">
        <v>1</v>
      </c>
      <c r="P47" s="314">
        <v>1</v>
      </c>
      <c r="Q47" s="314">
        <v>1</v>
      </c>
      <c r="R47" s="262"/>
      <c r="S47" s="314">
        <v>1</v>
      </c>
      <c r="T47" s="314">
        <v>1</v>
      </c>
      <c r="U47" s="314">
        <v>1</v>
      </c>
      <c r="V47" s="315">
        <v>1</v>
      </c>
      <c r="W47" s="288"/>
      <c r="X47" s="315">
        <v>1</v>
      </c>
      <c r="Y47" s="314"/>
      <c r="Z47" s="166">
        <f t="shared" si="2"/>
        <v>13</v>
      </c>
      <c r="AA47" s="102">
        <f t="shared" si="3"/>
        <v>455</v>
      </c>
    </row>
    <row r="48" spans="1:27" ht="15.75" customHeight="1">
      <c r="A48" s="155">
        <v>40</v>
      </c>
      <c r="B48" s="103" t="s">
        <v>58</v>
      </c>
      <c r="C48" s="112" t="s">
        <v>31</v>
      </c>
      <c r="D48" s="150"/>
      <c r="E48" s="150"/>
      <c r="F48" s="148"/>
      <c r="G48" s="302"/>
      <c r="H48" s="303"/>
      <c r="I48" s="303"/>
      <c r="J48" s="304"/>
      <c r="K48" s="305"/>
      <c r="L48" s="305"/>
      <c r="M48" s="305"/>
      <c r="N48" s="305"/>
      <c r="O48" s="262"/>
      <c r="P48" s="262"/>
      <c r="Q48" s="262"/>
      <c r="R48" s="262"/>
      <c r="S48" s="262"/>
      <c r="T48" s="262"/>
      <c r="U48" s="262"/>
      <c r="V48" s="288"/>
      <c r="W48" s="288"/>
      <c r="X48" s="288"/>
      <c r="Y48" s="262"/>
      <c r="Z48" s="166">
        <f t="shared" si="2"/>
        <v>0</v>
      </c>
      <c r="AA48" s="102">
        <f t="shared" si="3"/>
        <v>0</v>
      </c>
    </row>
    <row r="49" spans="1:27" ht="15.75" customHeight="1">
      <c r="A49" s="108">
        <v>41</v>
      </c>
      <c r="B49" s="56" t="s">
        <v>413</v>
      </c>
      <c r="C49" s="57" t="s">
        <v>28</v>
      </c>
      <c r="D49" s="68"/>
      <c r="E49" s="68"/>
      <c r="F49" s="148"/>
      <c r="G49" s="282"/>
      <c r="H49" s="282"/>
      <c r="I49" s="282"/>
      <c r="J49" s="282"/>
      <c r="K49" s="270"/>
      <c r="L49" s="270"/>
      <c r="M49" s="270"/>
      <c r="N49" s="270"/>
      <c r="O49" s="262"/>
      <c r="P49" s="262"/>
      <c r="Q49" s="262"/>
      <c r="R49" s="262"/>
      <c r="S49" s="262"/>
      <c r="T49" s="262"/>
      <c r="U49" s="262"/>
      <c r="V49" s="288"/>
      <c r="W49" s="288"/>
      <c r="X49" s="315">
        <v>1</v>
      </c>
      <c r="Y49" s="262"/>
      <c r="Z49" s="166">
        <f t="shared" si="2"/>
        <v>1</v>
      </c>
      <c r="AA49" s="102">
        <f t="shared" si="3"/>
        <v>35</v>
      </c>
    </row>
    <row r="50" spans="1:27" ht="15.75" customHeight="1">
      <c r="A50" s="155">
        <v>42</v>
      </c>
      <c r="B50" s="56" t="s">
        <v>433</v>
      </c>
      <c r="C50" s="57" t="s">
        <v>31</v>
      </c>
      <c r="D50" s="84"/>
      <c r="E50" s="68"/>
      <c r="F50" s="57"/>
      <c r="G50" s="387">
        <v>1</v>
      </c>
      <c r="H50" s="378">
        <v>1</v>
      </c>
      <c r="I50" s="148"/>
      <c r="J50" s="387">
        <v>1</v>
      </c>
      <c r="K50" s="387">
        <v>1</v>
      </c>
      <c r="L50" s="387">
        <v>1</v>
      </c>
      <c r="M50" s="387">
        <v>1</v>
      </c>
      <c r="N50" s="387">
        <v>1</v>
      </c>
      <c r="O50" s="314">
        <v>1</v>
      </c>
      <c r="P50" s="314">
        <v>1</v>
      </c>
      <c r="Q50" s="314">
        <v>1</v>
      </c>
      <c r="R50" s="314">
        <v>1</v>
      </c>
      <c r="S50" s="314">
        <v>1</v>
      </c>
      <c r="T50" s="316">
        <v>1</v>
      </c>
      <c r="U50" s="316">
        <v>1</v>
      </c>
      <c r="V50" s="323">
        <v>1</v>
      </c>
      <c r="W50" s="323">
        <v>1</v>
      </c>
      <c r="X50" s="323">
        <v>1</v>
      </c>
      <c r="Y50" s="316"/>
      <c r="Z50" s="166">
        <f t="shared" si="2"/>
        <v>17</v>
      </c>
      <c r="AA50" s="102">
        <f t="shared" si="3"/>
        <v>595</v>
      </c>
    </row>
    <row r="51" spans="1:27" ht="15.75" customHeight="1">
      <c r="A51" s="108">
        <v>43</v>
      </c>
      <c r="B51" s="56" t="s">
        <v>252</v>
      </c>
      <c r="C51" s="57" t="s">
        <v>30</v>
      </c>
      <c r="D51" s="79"/>
      <c r="E51" s="79"/>
      <c r="F51" s="243" t="s">
        <v>742</v>
      </c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88"/>
      <c r="W51" s="288"/>
      <c r="X51" s="288"/>
      <c r="Y51" s="262"/>
      <c r="Z51" s="166">
        <f t="shared" si="2"/>
        <v>0</v>
      </c>
      <c r="AA51" s="102">
        <f t="shared" si="3"/>
        <v>0</v>
      </c>
    </row>
    <row r="52" spans="1:27" ht="15.75" customHeight="1">
      <c r="A52" s="155">
        <v>44</v>
      </c>
      <c r="B52" s="56" t="s">
        <v>664</v>
      </c>
      <c r="C52" s="57" t="s">
        <v>28</v>
      </c>
      <c r="D52" s="79"/>
      <c r="E52" s="79"/>
      <c r="F52" s="9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88"/>
      <c r="W52" s="288"/>
      <c r="X52" s="288"/>
      <c r="Y52" s="262"/>
      <c r="Z52" s="166">
        <f t="shared" si="2"/>
        <v>0</v>
      </c>
      <c r="AA52" s="102">
        <f t="shared" si="3"/>
        <v>0</v>
      </c>
    </row>
    <row r="53" spans="1:27" ht="15.75" customHeight="1">
      <c r="A53" s="108">
        <v>45</v>
      </c>
      <c r="B53" s="56" t="s">
        <v>601</v>
      </c>
      <c r="C53" s="57"/>
      <c r="D53" s="79"/>
      <c r="E53" s="79"/>
      <c r="F53" s="9"/>
      <c r="G53" s="262"/>
      <c r="H53" s="262"/>
      <c r="I53" s="262"/>
      <c r="J53" s="262"/>
      <c r="K53" s="262"/>
      <c r="L53" s="262"/>
      <c r="M53" s="262"/>
      <c r="N53" s="262"/>
      <c r="O53" s="316">
        <v>1</v>
      </c>
      <c r="P53" s="262"/>
      <c r="Q53" s="316">
        <v>1</v>
      </c>
      <c r="R53" s="262"/>
      <c r="S53" s="262"/>
      <c r="T53" s="262"/>
      <c r="U53" s="262"/>
      <c r="V53" s="323">
        <v>1</v>
      </c>
      <c r="W53" s="288"/>
      <c r="X53" s="288"/>
      <c r="Y53" s="262"/>
      <c r="Z53" s="166">
        <f t="shared" si="2"/>
        <v>3</v>
      </c>
      <c r="AA53" s="102">
        <f t="shared" si="3"/>
        <v>105</v>
      </c>
    </row>
    <row r="54" spans="1:27" ht="15.75" customHeight="1">
      <c r="A54" s="155">
        <v>46</v>
      </c>
      <c r="B54" s="56" t="s">
        <v>281</v>
      </c>
      <c r="C54" s="57" t="s">
        <v>31</v>
      </c>
      <c r="D54" s="79"/>
      <c r="E54" s="79"/>
      <c r="F54" s="9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88"/>
      <c r="W54" s="288"/>
      <c r="X54" s="288"/>
      <c r="Y54" s="262"/>
      <c r="Z54" s="166">
        <f t="shared" si="2"/>
        <v>0</v>
      </c>
      <c r="AA54" s="102">
        <f t="shared" si="3"/>
        <v>0</v>
      </c>
    </row>
    <row r="55" spans="1:27" ht="15.75" customHeight="1">
      <c r="A55" s="108">
        <v>47</v>
      </c>
      <c r="B55" s="56" t="s">
        <v>616</v>
      </c>
      <c r="C55" s="57" t="s">
        <v>617</v>
      </c>
      <c r="D55" s="79"/>
      <c r="E55" s="79"/>
      <c r="F55" s="10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88"/>
      <c r="W55" s="288"/>
      <c r="X55" s="288"/>
      <c r="Y55" s="262"/>
      <c r="Z55" s="166">
        <f t="shared" si="2"/>
        <v>0</v>
      </c>
      <c r="AA55" s="102">
        <f t="shared" si="3"/>
        <v>0</v>
      </c>
    </row>
    <row r="56" spans="1:27" ht="15.75" customHeight="1">
      <c r="A56" s="155">
        <v>48</v>
      </c>
      <c r="B56" s="56" t="s">
        <v>434</v>
      </c>
      <c r="C56" s="57" t="s">
        <v>31</v>
      </c>
      <c r="D56" s="81"/>
      <c r="E56" s="81"/>
      <c r="F56" s="154" t="s">
        <v>461</v>
      </c>
      <c r="G56" s="314">
        <v>1</v>
      </c>
      <c r="H56" s="314">
        <v>1</v>
      </c>
      <c r="I56" s="314"/>
      <c r="J56" s="314">
        <v>1</v>
      </c>
      <c r="K56" s="314">
        <v>1</v>
      </c>
      <c r="L56" s="314">
        <v>1</v>
      </c>
      <c r="M56" s="314">
        <v>1</v>
      </c>
      <c r="N56" s="314">
        <v>1</v>
      </c>
      <c r="O56" s="314">
        <v>1</v>
      </c>
      <c r="P56" s="314">
        <v>1</v>
      </c>
      <c r="Q56" s="314">
        <v>1</v>
      </c>
      <c r="R56" s="314">
        <v>1</v>
      </c>
      <c r="S56" s="314">
        <v>1</v>
      </c>
      <c r="T56" s="314">
        <v>1</v>
      </c>
      <c r="U56" s="314">
        <v>1</v>
      </c>
      <c r="V56" s="314">
        <v>1</v>
      </c>
      <c r="W56" s="315">
        <v>1</v>
      </c>
      <c r="X56" s="315">
        <v>1</v>
      </c>
      <c r="Y56" s="315"/>
      <c r="Z56" s="166">
        <f t="shared" si="2"/>
        <v>17</v>
      </c>
      <c r="AA56" s="102">
        <f t="shared" si="3"/>
        <v>595</v>
      </c>
    </row>
    <row r="57" spans="1:27" ht="15.75" customHeight="1">
      <c r="A57" s="108">
        <v>49</v>
      </c>
      <c r="B57" s="128" t="s">
        <v>714</v>
      </c>
      <c r="C57" s="63" t="s">
        <v>30</v>
      </c>
      <c r="D57" s="81"/>
      <c r="E57" s="81"/>
      <c r="F57" s="242"/>
      <c r="G57" s="262"/>
      <c r="H57" s="314">
        <v>1</v>
      </c>
      <c r="I57" s="262"/>
      <c r="J57" s="262"/>
      <c r="K57" s="262"/>
      <c r="L57" s="262"/>
      <c r="M57" s="262"/>
      <c r="N57" s="262"/>
      <c r="O57" s="314">
        <v>1</v>
      </c>
      <c r="P57" s="262"/>
      <c r="Q57" s="262"/>
      <c r="R57" s="314">
        <v>1</v>
      </c>
      <c r="S57" s="314">
        <v>1</v>
      </c>
      <c r="T57" s="262"/>
      <c r="U57" s="314">
        <v>1</v>
      </c>
      <c r="V57" s="314">
        <v>1</v>
      </c>
      <c r="W57" s="288"/>
      <c r="X57" s="288"/>
      <c r="Y57" s="288"/>
      <c r="Z57" s="166">
        <f t="shared" si="2"/>
        <v>6</v>
      </c>
      <c r="AA57" s="102">
        <f t="shared" si="3"/>
        <v>210</v>
      </c>
    </row>
    <row r="58" spans="1:27" ht="15.75" customHeight="1">
      <c r="A58" s="155">
        <v>50</v>
      </c>
      <c r="B58" s="128" t="s">
        <v>151</v>
      </c>
      <c r="C58" s="63" t="s">
        <v>28</v>
      </c>
      <c r="D58" s="79"/>
      <c r="E58" s="79"/>
      <c r="F58" s="9"/>
      <c r="G58" s="314">
        <v>1</v>
      </c>
      <c r="H58" s="314">
        <v>1</v>
      </c>
      <c r="I58" s="48"/>
      <c r="J58" s="314">
        <v>1</v>
      </c>
      <c r="K58" s="314">
        <v>1</v>
      </c>
      <c r="L58" s="314">
        <v>1</v>
      </c>
      <c r="M58" s="314">
        <v>1</v>
      </c>
      <c r="N58" s="314">
        <v>1</v>
      </c>
      <c r="O58" s="314">
        <v>1</v>
      </c>
      <c r="P58" s="314">
        <v>1</v>
      </c>
      <c r="Q58" s="314">
        <v>1</v>
      </c>
      <c r="R58" s="314">
        <v>1</v>
      </c>
      <c r="S58" s="314">
        <v>1</v>
      </c>
      <c r="T58" s="314">
        <v>1</v>
      </c>
      <c r="U58" s="314">
        <v>1</v>
      </c>
      <c r="V58" s="314">
        <v>1</v>
      </c>
      <c r="W58" s="315">
        <v>1</v>
      </c>
      <c r="X58" s="315">
        <v>1</v>
      </c>
      <c r="Y58" s="323"/>
      <c r="Z58" s="166">
        <f t="shared" si="2"/>
        <v>17</v>
      </c>
      <c r="AA58" s="102">
        <f t="shared" si="3"/>
        <v>595</v>
      </c>
    </row>
    <row r="59" spans="1:27" ht="15.75" customHeight="1">
      <c r="A59" s="108">
        <v>51</v>
      </c>
      <c r="B59" s="120" t="s">
        <v>198</v>
      </c>
      <c r="C59" s="121" t="s">
        <v>30</v>
      </c>
      <c r="D59" s="153"/>
      <c r="E59" s="79"/>
      <c r="F59" s="102"/>
      <c r="G59" s="314">
        <v>1</v>
      </c>
      <c r="H59" s="314">
        <v>1</v>
      </c>
      <c r="I59" s="48"/>
      <c r="J59" s="314">
        <v>1</v>
      </c>
      <c r="K59" s="314">
        <v>1</v>
      </c>
      <c r="L59" s="314">
        <v>1</v>
      </c>
      <c r="M59" s="314">
        <v>1</v>
      </c>
      <c r="N59" s="314">
        <v>1</v>
      </c>
      <c r="O59" s="314">
        <v>1</v>
      </c>
      <c r="P59" s="314">
        <v>1</v>
      </c>
      <c r="Q59" s="314">
        <v>1</v>
      </c>
      <c r="R59" s="314">
        <v>1</v>
      </c>
      <c r="S59" s="314">
        <v>1</v>
      </c>
      <c r="T59" s="314">
        <v>1</v>
      </c>
      <c r="U59" s="314">
        <v>1</v>
      </c>
      <c r="V59" s="314">
        <v>1</v>
      </c>
      <c r="W59" s="315">
        <v>1</v>
      </c>
      <c r="X59" s="315">
        <v>1</v>
      </c>
      <c r="Y59" s="315"/>
      <c r="Z59" s="166">
        <f t="shared" si="2"/>
        <v>17</v>
      </c>
      <c r="AA59" s="102">
        <f t="shared" si="3"/>
        <v>595</v>
      </c>
    </row>
    <row r="60" spans="1:27" ht="15.75" customHeight="1">
      <c r="A60" s="155">
        <v>52</v>
      </c>
      <c r="B60" s="120" t="s">
        <v>600</v>
      </c>
      <c r="C60" s="121" t="s">
        <v>562</v>
      </c>
      <c r="D60" s="153"/>
      <c r="E60" s="79"/>
      <c r="F60" s="102"/>
      <c r="G60" s="262"/>
      <c r="H60" s="262"/>
      <c r="I60" s="48"/>
      <c r="J60" s="262"/>
      <c r="K60" s="262"/>
      <c r="L60" s="262"/>
      <c r="M60" s="262"/>
      <c r="N60" s="262"/>
      <c r="O60" s="262"/>
      <c r="P60" s="262"/>
      <c r="Q60" s="262"/>
      <c r="R60" s="262"/>
      <c r="S60" s="314">
        <v>1</v>
      </c>
      <c r="T60" s="262"/>
      <c r="U60" s="262"/>
      <c r="V60" s="262"/>
      <c r="W60" s="288"/>
      <c r="X60" s="288"/>
      <c r="Y60" s="288"/>
      <c r="Z60" s="166">
        <f t="shared" si="2"/>
        <v>1</v>
      </c>
      <c r="AA60" s="102">
        <f t="shared" si="3"/>
        <v>35</v>
      </c>
    </row>
    <row r="61" spans="1:27" ht="15.75" customHeight="1">
      <c r="A61" s="108">
        <v>53</v>
      </c>
      <c r="B61" s="120" t="s">
        <v>560</v>
      </c>
      <c r="C61" s="121" t="s">
        <v>30</v>
      </c>
      <c r="D61" s="153"/>
      <c r="E61" s="79"/>
      <c r="F61" s="102"/>
      <c r="G61" s="262"/>
      <c r="H61" s="262"/>
      <c r="I61" s="48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88"/>
      <c r="X61" s="288"/>
      <c r="Y61" s="288"/>
      <c r="Z61" s="166">
        <f t="shared" si="2"/>
        <v>0</v>
      </c>
      <c r="AA61" s="102">
        <f t="shared" si="3"/>
        <v>0</v>
      </c>
    </row>
    <row r="62" spans="1:27" ht="15.75" customHeight="1">
      <c r="A62" s="155">
        <v>54</v>
      </c>
      <c r="B62" s="120" t="s">
        <v>233</v>
      </c>
      <c r="C62" s="121" t="s">
        <v>30</v>
      </c>
      <c r="D62" s="68"/>
      <c r="E62" s="68"/>
      <c r="F62" s="217" t="s">
        <v>773</v>
      </c>
      <c r="G62" s="316">
        <v>1</v>
      </c>
      <c r="H62" s="316">
        <v>1</v>
      </c>
      <c r="I62" s="48"/>
      <c r="J62" s="316">
        <v>1</v>
      </c>
      <c r="K62" s="316">
        <v>1</v>
      </c>
      <c r="L62" s="316">
        <v>1</v>
      </c>
      <c r="M62" s="316">
        <v>1</v>
      </c>
      <c r="N62" s="316">
        <v>1</v>
      </c>
      <c r="O62" s="316">
        <v>1</v>
      </c>
      <c r="P62" s="316">
        <v>1</v>
      </c>
      <c r="Q62" s="316">
        <v>1</v>
      </c>
      <c r="R62" s="316">
        <v>1</v>
      </c>
      <c r="S62" s="316">
        <v>1</v>
      </c>
      <c r="T62" s="316">
        <v>1</v>
      </c>
      <c r="U62" s="316">
        <v>1</v>
      </c>
      <c r="V62" s="316">
        <v>1</v>
      </c>
      <c r="W62" s="323">
        <v>1</v>
      </c>
      <c r="X62" s="323">
        <v>1</v>
      </c>
      <c r="Y62" s="323"/>
      <c r="Z62" s="166">
        <f t="shared" si="2"/>
        <v>17</v>
      </c>
      <c r="AA62" s="102">
        <f t="shared" si="3"/>
        <v>595</v>
      </c>
    </row>
    <row r="63" spans="1:27" ht="15.75" customHeight="1">
      <c r="A63" s="108">
        <v>55</v>
      </c>
      <c r="B63" s="120" t="s">
        <v>561</v>
      </c>
      <c r="C63" s="121" t="s">
        <v>562</v>
      </c>
      <c r="D63" s="68"/>
      <c r="E63" s="68"/>
      <c r="F63" s="101"/>
      <c r="G63" s="314">
        <v>1</v>
      </c>
      <c r="H63" s="314">
        <v>1</v>
      </c>
      <c r="I63" s="48"/>
      <c r="J63" s="314">
        <v>1</v>
      </c>
      <c r="K63" s="314">
        <v>1</v>
      </c>
      <c r="L63" s="314">
        <v>1</v>
      </c>
      <c r="M63" s="316">
        <v>1</v>
      </c>
      <c r="N63" s="316">
        <v>1</v>
      </c>
      <c r="O63" s="316">
        <v>1</v>
      </c>
      <c r="P63" s="316">
        <v>1</v>
      </c>
      <c r="Q63" s="316">
        <v>1</v>
      </c>
      <c r="R63" s="48"/>
      <c r="S63" s="48"/>
      <c r="T63" s="48"/>
      <c r="U63" s="48"/>
      <c r="V63" s="48"/>
      <c r="W63" s="369"/>
      <c r="X63" s="369"/>
      <c r="Y63" s="369"/>
      <c r="Z63" s="166">
        <f t="shared" si="2"/>
        <v>10</v>
      </c>
      <c r="AA63" s="102">
        <f t="shared" si="3"/>
        <v>350</v>
      </c>
    </row>
    <row r="64" spans="1:27" ht="15.75" customHeight="1">
      <c r="A64" s="155">
        <v>56</v>
      </c>
      <c r="B64" s="120" t="s">
        <v>435</v>
      </c>
      <c r="C64" s="121" t="s">
        <v>30</v>
      </c>
      <c r="D64" s="68"/>
      <c r="E64" s="68"/>
      <c r="F64" s="48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88"/>
      <c r="X64" s="288"/>
      <c r="Y64" s="288"/>
      <c r="Z64" s="166">
        <f t="shared" si="2"/>
        <v>0</v>
      </c>
      <c r="AA64" s="102">
        <f t="shared" si="3"/>
        <v>0</v>
      </c>
    </row>
    <row r="65" spans="1:27" ht="15.75" customHeight="1">
      <c r="A65" s="108">
        <v>57</v>
      </c>
      <c r="B65" s="120" t="s">
        <v>415</v>
      </c>
      <c r="C65" s="121" t="s">
        <v>28</v>
      </c>
      <c r="D65" s="68"/>
      <c r="E65" s="68"/>
      <c r="F65" s="193" t="s">
        <v>738</v>
      </c>
      <c r="G65" s="314">
        <v>1</v>
      </c>
      <c r="H65" s="262"/>
      <c r="I65" s="262"/>
      <c r="J65" s="314">
        <v>1</v>
      </c>
      <c r="K65" s="262"/>
      <c r="L65" s="262"/>
      <c r="M65" s="262"/>
      <c r="N65" s="262"/>
      <c r="O65" s="314">
        <v>1</v>
      </c>
      <c r="P65" s="262"/>
      <c r="Q65" s="262"/>
      <c r="R65" s="262"/>
      <c r="S65" s="262"/>
      <c r="T65" s="314">
        <v>1</v>
      </c>
      <c r="U65" s="262"/>
      <c r="V65" s="262"/>
      <c r="W65" s="315">
        <v>1</v>
      </c>
      <c r="X65" s="315">
        <v>1</v>
      </c>
      <c r="Y65" s="315"/>
      <c r="Z65" s="166">
        <f t="shared" si="2"/>
        <v>6</v>
      </c>
      <c r="AA65" s="102">
        <f t="shared" si="3"/>
        <v>210</v>
      </c>
    </row>
    <row r="66" spans="1:27" ht="15.75" customHeight="1">
      <c r="A66" s="155">
        <v>58</v>
      </c>
      <c r="B66" s="124" t="s">
        <v>109</v>
      </c>
      <c r="C66" s="106" t="s">
        <v>30</v>
      </c>
      <c r="D66" s="68"/>
      <c r="E66" s="68"/>
      <c r="F66" s="57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88"/>
      <c r="X66" s="288"/>
      <c r="Y66" s="288"/>
      <c r="Z66" s="166">
        <f t="shared" si="2"/>
        <v>0</v>
      </c>
      <c r="AA66" s="102">
        <f t="shared" si="3"/>
        <v>0</v>
      </c>
    </row>
    <row r="67" spans="1:27" ht="15.75" customHeight="1">
      <c r="A67" s="108">
        <v>59</v>
      </c>
      <c r="B67" s="91" t="s">
        <v>699</v>
      </c>
      <c r="C67" s="238" t="s">
        <v>562</v>
      </c>
      <c r="D67" s="68"/>
      <c r="E67" s="68"/>
      <c r="F67" s="57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88"/>
      <c r="X67" s="288"/>
      <c r="Y67" s="288"/>
      <c r="Z67" s="166">
        <f t="shared" si="2"/>
        <v>0</v>
      </c>
      <c r="AA67" s="102">
        <f t="shared" si="3"/>
        <v>0</v>
      </c>
    </row>
    <row r="68" spans="1:27" ht="15.75" customHeight="1">
      <c r="A68" s="155">
        <v>60</v>
      </c>
      <c r="B68" s="56" t="s">
        <v>436</v>
      </c>
      <c r="C68" s="57" t="s">
        <v>589</v>
      </c>
      <c r="D68" s="68"/>
      <c r="E68" s="68"/>
      <c r="F68" s="57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88"/>
      <c r="X68" s="288"/>
      <c r="Y68" s="288"/>
      <c r="Z68" s="166">
        <f t="shared" si="2"/>
        <v>0</v>
      </c>
      <c r="AA68" s="102">
        <f t="shared" si="3"/>
        <v>0</v>
      </c>
    </row>
    <row r="69" spans="1:27" ht="15.75" customHeight="1">
      <c r="A69" s="108">
        <v>61</v>
      </c>
      <c r="B69" s="56" t="s">
        <v>765</v>
      </c>
      <c r="C69" s="57" t="s">
        <v>766</v>
      </c>
      <c r="D69" s="68"/>
      <c r="E69" s="68"/>
      <c r="F69" s="57"/>
      <c r="G69" s="262"/>
      <c r="H69" s="314">
        <v>1</v>
      </c>
      <c r="I69" s="262"/>
      <c r="J69" s="48"/>
      <c r="K69" s="314">
        <v>1</v>
      </c>
      <c r="L69" s="314">
        <v>1</v>
      </c>
      <c r="M69" s="314">
        <v>1</v>
      </c>
      <c r="N69" s="314">
        <v>1</v>
      </c>
      <c r="O69" s="314">
        <v>1</v>
      </c>
      <c r="P69" s="314">
        <v>1</v>
      </c>
      <c r="Q69" s="314">
        <v>1</v>
      </c>
      <c r="R69" s="314">
        <v>1</v>
      </c>
      <c r="S69" s="314">
        <v>1</v>
      </c>
      <c r="T69" s="48"/>
      <c r="U69" s="48"/>
      <c r="V69" s="48"/>
      <c r="W69" s="369"/>
      <c r="X69" s="369"/>
      <c r="Y69" s="369"/>
      <c r="Z69" s="166"/>
      <c r="AA69" s="102"/>
    </row>
    <row r="70" spans="1:27" ht="15.75" customHeight="1">
      <c r="A70" s="155">
        <v>62</v>
      </c>
      <c r="B70" s="56" t="s">
        <v>437</v>
      </c>
      <c r="C70" s="57" t="s">
        <v>28</v>
      </c>
      <c r="D70" s="79"/>
      <c r="E70" s="79"/>
      <c r="F70" s="9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88"/>
      <c r="X70" s="288"/>
      <c r="Y70" s="288"/>
      <c r="Z70" s="166">
        <f t="shared" si="2"/>
        <v>0</v>
      </c>
      <c r="AA70" s="102">
        <f t="shared" si="3"/>
        <v>0</v>
      </c>
    </row>
    <row r="71" spans="1:27" ht="15.75" customHeight="1">
      <c r="A71" s="108">
        <v>63</v>
      </c>
      <c r="B71" s="56" t="s">
        <v>629</v>
      </c>
      <c r="C71" s="57" t="s">
        <v>589</v>
      </c>
      <c r="D71" s="79"/>
      <c r="E71" s="79"/>
      <c r="F71" s="9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88"/>
      <c r="X71" s="288"/>
      <c r="Y71" s="288"/>
      <c r="Z71" s="166">
        <f t="shared" si="2"/>
        <v>0</v>
      </c>
      <c r="AA71" s="102">
        <f t="shared" si="3"/>
        <v>0</v>
      </c>
    </row>
    <row r="72" spans="1:27" ht="15.75" customHeight="1">
      <c r="A72" s="155">
        <v>64</v>
      </c>
      <c r="B72" s="56" t="s">
        <v>739</v>
      </c>
      <c r="C72" s="57" t="s">
        <v>28</v>
      </c>
      <c r="D72" s="79"/>
      <c r="E72" s="79"/>
      <c r="F72" s="194" t="s">
        <v>461</v>
      </c>
      <c r="G72" s="314">
        <v>1</v>
      </c>
      <c r="H72" s="314">
        <v>1</v>
      </c>
      <c r="I72" s="48"/>
      <c r="J72" s="314">
        <v>1</v>
      </c>
      <c r="K72" s="314">
        <v>1</v>
      </c>
      <c r="L72" s="314">
        <v>1</v>
      </c>
      <c r="M72" s="314">
        <v>1</v>
      </c>
      <c r="N72" s="314">
        <v>1</v>
      </c>
      <c r="O72" s="314">
        <v>1</v>
      </c>
      <c r="P72" s="314">
        <v>1</v>
      </c>
      <c r="Q72" s="314">
        <v>1</v>
      </c>
      <c r="R72" s="314">
        <v>1</v>
      </c>
      <c r="S72" s="314">
        <v>1</v>
      </c>
      <c r="T72" s="314">
        <v>1</v>
      </c>
      <c r="U72" s="314">
        <v>1</v>
      </c>
      <c r="V72" s="314">
        <v>1</v>
      </c>
      <c r="W72" s="315">
        <v>1</v>
      </c>
      <c r="X72" s="315">
        <v>1</v>
      </c>
      <c r="Y72" s="323"/>
      <c r="Z72" s="166">
        <f t="shared" si="2"/>
        <v>17</v>
      </c>
      <c r="AA72" s="102">
        <f t="shared" si="3"/>
        <v>595</v>
      </c>
    </row>
    <row r="73" spans="1:27" ht="15.75" customHeight="1">
      <c r="A73" s="108">
        <v>65</v>
      </c>
      <c r="B73" s="56" t="s">
        <v>194</v>
      </c>
      <c r="C73" s="57" t="s">
        <v>31</v>
      </c>
      <c r="D73" s="79"/>
      <c r="E73" s="79"/>
      <c r="F73" s="9"/>
      <c r="G73" s="262"/>
      <c r="H73" s="262"/>
      <c r="I73" s="48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88"/>
      <c r="X73" s="288"/>
      <c r="Y73" s="288"/>
      <c r="Z73" s="166">
        <f t="shared" si="2"/>
        <v>0</v>
      </c>
      <c r="AA73" s="102">
        <f t="shared" si="3"/>
        <v>0</v>
      </c>
    </row>
    <row r="74" spans="1:27" ht="15.75" customHeight="1">
      <c r="A74" s="155">
        <v>66</v>
      </c>
      <c r="B74" s="56" t="s">
        <v>438</v>
      </c>
      <c r="C74" s="57" t="s">
        <v>30</v>
      </c>
      <c r="D74" s="79"/>
      <c r="E74" s="79"/>
      <c r="F74" s="9"/>
      <c r="G74" s="314">
        <v>1</v>
      </c>
      <c r="H74" s="314">
        <v>1</v>
      </c>
      <c r="I74" s="48"/>
      <c r="J74" s="314">
        <v>1</v>
      </c>
      <c r="K74" s="314">
        <v>1</v>
      </c>
      <c r="L74" s="314">
        <v>1</v>
      </c>
      <c r="M74" s="314">
        <v>1</v>
      </c>
      <c r="N74" s="314">
        <v>1</v>
      </c>
      <c r="O74" s="314">
        <v>1</v>
      </c>
      <c r="P74" s="314">
        <v>1</v>
      </c>
      <c r="Q74" s="314">
        <v>1</v>
      </c>
      <c r="R74" s="314">
        <v>1</v>
      </c>
      <c r="S74" s="314">
        <v>1</v>
      </c>
      <c r="T74" s="314">
        <v>1</v>
      </c>
      <c r="U74" s="314">
        <v>1</v>
      </c>
      <c r="V74" s="314">
        <v>1</v>
      </c>
      <c r="W74" s="315">
        <v>1</v>
      </c>
      <c r="X74" s="315">
        <v>1</v>
      </c>
      <c r="Y74" s="323"/>
      <c r="Z74" s="166">
        <f t="shared" si="2"/>
        <v>17</v>
      </c>
      <c r="AA74" s="102">
        <f t="shared" si="3"/>
        <v>595</v>
      </c>
    </row>
    <row r="75" spans="1:27" ht="15.75" customHeight="1">
      <c r="A75" s="108">
        <v>67</v>
      </c>
      <c r="B75" s="56" t="s">
        <v>736</v>
      </c>
      <c r="C75" s="57" t="s">
        <v>28</v>
      </c>
      <c r="D75" s="79"/>
      <c r="E75" s="79"/>
      <c r="F75" s="102"/>
      <c r="G75" s="314">
        <v>1</v>
      </c>
      <c r="H75" s="314">
        <v>1</v>
      </c>
      <c r="I75" s="48"/>
      <c r="J75" s="314">
        <v>1</v>
      </c>
      <c r="K75" s="262"/>
      <c r="L75" s="314">
        <v>1</v>
      </c>
      <c r="M75" s="314">
        <v>1</v>
      </c>
      <c r="N75" s="262"/>
      <c r="O75" s="314">
        <v>1</v>
      </c>
      <c r="P75" s="262"/>
      <c r="Q75" s="262"/>
      <c r="R75" s="262"/>
      <c r="S75" s="262"/>
      <c r="T75" s="262"/>
      <c r="U75" s="262"/>
      <c r="V75" s="314">
        <v>1</v>
      </c>
      <c r="W75" s="288"/>
      <c r="X75" s="288"/>
      <c r="Y75" s="288"/>
      <c r="Z75" s="166">
        <f t="shared" ref="Z75:Z138" si="4">+SUM(G75:Y75)</f>
        <v>7</v>
      </c>
      <c r="AA75" s="102">
        <f t="shared" ref="AA75:AA138" si="5">+Z75*35</f>
        <v>245</v>
      </c>
    </row>
    <row r="76" spans="1:27" ht="15.75" customHeight="1">
      <c r="A76" s="155">
        <v>68</v>
      </c>
      <c r="B76" s="56" t="s">
        <v>167</v>
      </c>
      <c r="C76" s="57" t="s">
        <v>31</v>
      </c>
      <c r="D76" s="79"/>
      <c r="E76" s="79"/>
      <c r="F76" s="102"/>
      <c r="G76" s="262"/>
      <c r="H76" s="262"/>
      <c r="I76" s="48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88"/>
      <c r="X76" s="288"/>
      <c r="Y76" s="288"/>
      <c r="Z76" s="166">
        <f t="shared" si="4"/>
        <v>0</v>
      </c>
      <c r="AA76" s="102">
        <f t="shared" si="5"/>
        <v>0</v>
      </c>
    </row>
    <row r="77" spans="1:27" ht="15.75" customHeight="1">
      <c r="A77" s="108">
        <v>69</v>
      </c>
      <c r="B77" s="56" t="s">
        <v>545</v>
      </c>
      <c r="C77" s="57" t="s">
        <v>31</v>
      </c>
      <c r="D77" s="79"/>
      <c r="E77" s="79"/>
      <c r="F77" s="102"/>
      <c r="G77" s="314">
        <v>1</v>
      </c>
      <c r="H77" s="314">
        <v>1</v>
      </c>
      <c r="I77" s="48"/>
      <c r="J77" s="314">
        <v>1</v>
      </c>
      <c r="K77" s="314">
        <v>1</v>
      </c>
      <c r="L77" s="314">
        <v>1</v>
      </c>
      <c r="M77" s="314">
        <v>1</v>
      </c>
      <c r="N77" s="314">
        <v>1</v>
      </c>
      <c r="O77" s="314">
        <v>1</v>
      </c>
      <c r="P77" s="314">
        <v>1</v>
      </c>
      <c r="Q77" s="314">
        <v>1</v>
      </c>
      <c r="R77" s="314">
        <v>1</v>
      </c>
      <c r="S77" s="314">
        <v>1</v>
      </c>
      <c r="T77" s="316">
        <v>1</v>
      </c>
      <c r="U77" s="316">
        <v>1</v>
      </c>
      <c r="V77" s="316">
        <v>1</v>
      </c>
      <c r="W77" s="323">
        <v>1</v>
      </c>
      <c r="X77" s="323">
        <v>1</v>
      </c>
      <c r="Y77" s="323"/>
      <c r="Z77" s="166">
        <f t="shared" si="4"/>
        <v>17</v>
      </c>
      <c r="AA77" s="102">
        <f t="shared" si="5"/>
        <v>595</v>
      </c>
    </row>
    <row r="78" spans="1:27" ht="15.75" customHeight="1">
      <c r="A78" s="155">
        <v>70</v>
      </c>
      <c r="B78" s="56" t="s">
        <v>87</v>
      </c>
      <c r="C78" s="57" t="s">
        <v>31</v>
      </c>
      <c r="D78" s="79"/>
      <c r="E78" s="79"/>
      <c r="F78" s="102"/>
      <c r="G78" s="314">
        <v>1</v>
      </c>
      <c r="H78" s="314">
        <v>1</v>
      </c>
      <c r="I78" s="314"/>
      <c r="J78" s="314">
        <v>1</v>
      </c>
      <c r="K78" s="314">
        <v>1</v>
      </c>
      <c r="L78" s="314">
        <v>1</v>
      </c>
      <c r="M78" s="314">
        <v>1</v>
      </c>
      <c r="N78" s="314">
        <v>1</v>
      </c>
      <c r="O78" s="314">
        <v>1</v>
      </c>
      <c r="P78" s="314">
        <v>1</v>
      </c>
      <c r="Q78" s="314">
        <v>1</v>
      </c>
      <c r="R78" s="314">
        <v>1</v>
      </c>
      <c r="S78" s="314">
        <v>1</v>
      </c>
      <c r="T78" s="314">
        <v>1</v>
      </c>
      <c r="U78" s="314">
        <v>1</v>
      </c>
      <c r="V78" s="314">
        <v>1</v>
      </c>
      <c r="W78" s="315">
        <v>1</v>
      </c>
      <c r="X78" s="315">
        <v>1</v>
      </c>
      <c r="Y78" s="315"/>
      <c r="Z78" s="166">
        <f t="shared" si="4"/>
        <v>17</v>
      </c>
      <c r="AA78" s="102">
        <f t="shared" si="5"/>
        <v>595</v>
      </c>
    </row>
    <row r="79" spans="1:27" ht="15.75" customHeight="1">
      <c r="A79" s="108">
        <v>71</v>
      </c>
      <c r="B79" s="56" t="s">
        <v>199</v>
      </c>
      <c r="C79" s="57" t="s">
        <v>30</v>
      </c>
      <c r="D79" s="79"/>
      <c r="E79" s="79"/>
      <c r="F79" s="10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88"/>
      <c r="X79" s="288"/>
      <c r="Y79" s="288"/>
      <c r="Z79" s="166">
        <f t="shared" si="4"/>
        <v>0</v>
      </c>
      <c r="AA79" s="102">
        <f t="shared" si="5"/>
        <v>0</v>
      </c>
    </row>
    <row r="80" spans="1:27" ht="15.75" customHeight="1">
      <c r="A80" s="155">
        <v>72</v>
      </c>
      <c r="B80" s="56" t="s">
        <v>210</v>
      </c>
      <c r="C80" s="57" t="s">
        <v>31</v>
      </c>
      <c r="D80" s="68"/>
      <c r="E80" s="68"/>
      <c r="F80" s="394" t="s">
        <v>774</v>
      </c>
      <c r="G80" s="316">
        <v>1</v>
      </c>
      <c r="H80" s="316">
        <v>1</v>
      </c>
      <c r="I80" s="262"/>
      <c r="J80" s="316">
        <v>1</v>
      </c>
      <c r="K80" s="316">
        <v>1</v>
      </c>
      <c r="L80" s="316">
        <v>1</v>
      </c>
      <c r="M80" s="316">
        <v>1</v>
      </c>
      <c r="N80" s="316">
        <v>1</v>
      </c>
      <c r="O80" s="262"/>
      <c r="P80" s="262"/>
      <c r="Q80" s="316">
        <v>1</v>
      </c>
      <c r="R80" s="316">
        <v>1</v>
      </c>
      <c r="S80" s="316">
        <v>1</v>
      </c>
      <c r="T80" s="316">
        <v>1</v>
      </c>
      <c r="U80" s="316">
        <v>1</v>
      </c>
      <c r="V80" s="316">
        <v>1</v>
      </c>
      <c r="W80" s="323">
        <v>1</v>
      </c>
      <c r="X80" s="323">
        <v>1</v>
      </c>
      <c r="Y80" s="288"/>
      <c r="Z80" s="166">
        <f t="shared" si="4"/>
        <v>15</v>
      </c>
      <c r="AA80" s="102">
        <f t="shared" si="5"/>
        <v>525</v>
      </c>
    </row>
    <row r="81" spans="1:27" ht="15.75" customHeight="1">
      <c r="A81" s="108">
        <v>73</v>
      </c>
      <c r="B81" s="56" t="s">
        <v>74</v>
      </c>
      <c r="C81" s="57" t="s">
        <v>30</v>
      </c>
      <c r="D81" s="79"/>
      <c r="E81" s="79"/>
      <c r="F81" s="102"/>
      <c r="G81" s="314">
        <v>1</v>
      </c>
      <c r="H81" s="314">
        <v>1</v>
      </c>
      <c r="I81" s="48"/>
      <c r="J81" s="314">
        <v>1</v>
      </c>
      <c r="K81" s="314">
        <v>1</v>
      </c>
      <c r="L81" s="314">
        <v>1</v>
      </c>
      <c r="M81" s="314">
        <v>1</v>
      </c>
      <c r="N81" s="314">
        <v>1</v>
      </c>
      <c r="O81" s="314">
        <v>1</v>
      </c>
      <c r="P81" s="314">
        <v>1</v>
      </c>
      <c r="Q81" s="314">
        <v>1</v>
      </c>
      <c r="R81" s="314">
        <v>1</v>
      </c>
      <c r="S81" s="314">
        <v>1</v>
      </c>
      <c r="T81" s="314">
        <v>1</v>
      </c>
      <c r="U81" s="314">
        <v>1</v>
      </c>
      <c r="V81" s="314">
        <v>1</v>
      </c>
      <c r="W81" s="315">
        <v>1</v>
      </c>
      <c r="X81" s="315">
        <v>1</v>
      </c>
      <c r="Y81" s="315"/>
      <c r="Z81" s="166">
        <f t="shared" si="4"/>
        <v>17</v>
      </c>
      <c r="AA81" s="102">
        <f t="shared" si="5"/>
        <v>595</v>
      </c>
    </row>
    <row r="82" spans="1:27" ht="15.75" customHeight="1">
      <c r="A82" s="155">
        <v>74</v>
      </c>
      <c r="B82" s="56" t="s">
        <v>599</v>
      </c>
      <c r="C82" s="57" t="s">
        <v>30</v>
      </c>
      <c r="D82" s="79"/>
      <c r="E82" s="79"/>
      <c r="F82" s="10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88"/>
      <c r="X82" s="288"/>
      <c r="Y82" s="288"/>
      <c r="Z82" s="166">
        <f t="shared" si="4"/>
        <v>0</v>
      </c>
      <c r="AA82" s="102">
        <f t="shared" si="5"/>
        <v>0</v>
      </c>
    </row>
    <row r="83" spans="1:27" ht="15.75" customHeight="1">
      <c r="A83" s="108">
        <v>75</v>
      </c>
      <c r="B83" s="129" t="s">
        <v>439</v>
      </c>
      <c r="C83" s="57" t="s">
        <v>31</v>
      </c>
      <c r="D83" s="79"/>
      <c r="E83" s="79"/>
      <c r="F83" s="9"/>
      <c r="G83" s="262"/>
      <c r="H83" s="262"/>
      <c r="I83" s="262"/>
      <c r="J83" s="314">
        <v>1</v>
      </c>
      <c r="K83" s="262"/>
      <c r="L83" s="262"/>
      <c r="M83" s="262"/>
      <c r="N83" s="262"/>
      <c r="O83" s="262"/>
      <c r="P83" s="262"/>
      <c r="Q83" s="262"/>
      <c r="R83" s="262"/>
      <c r="S83" s="262"/>
      <c r="T83" s="314">
        <v>1</v>
      </c>
      <c r="U83" s="262"/>
      <c r="V83" s="262"/>
      <c r="W83" s="288"/>
      <c r="X83" s="288"/>
      <c r="Y83" s="288"/>
      <c r="Z83" s="166">
        <f t="shared" si="4"/>
        <v>2</v>
      </c>
      <c r="AA83" s="102">
        <f t="shared" si="5"/>
        <v>70</v>
      </c>
    </row>
    <row r="84" spans="1:27" ht="15.75" customHeight="1">
      <c r="A84" s="155">
        <v>76</v>
      </c>
      <c r="B84" s="129" t="s">
        <v>763</v>
      </c>
      <c r="C84" s="57" t="s">
        <v>30</v>
      </c>
      <c r="D84" s="79"/>
      <c r="E84" s="79"/>
      <c r="F84" s="9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88"/>
      <c r="X84" s="288"/>
      <c r="Y84" s="288"/>
      <c r="Z84" s="166">
        <f t="shared" si="4"/>
        <v>0</v>
      </c>
      <c r="AA84" s="102">
        <f t="shared" si="5"/>
        <v>0</v>
      </c>
    </row>
    <row r="85" spans="1:27" ht="15.75" customHeight="1">
      <c r="A85" s="108">
        <v>77</v>
      </c>
      <c r="B85" s="129" t="s">
        <v>440</v>
      </c>
      <c r="C85" s="57" t="s">
        <v>31</v>
      </c>
      <c r="D85" s="68"/>
      <c r="E85" s="68"/>
      <c r="F85" s="50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88"/>
      <c r="X85" s="288"/>
      <c r="Y85" s="288"/>
      <c r="Z85" s="166">
        <f t="shared" si="4"/>
        <v>0</v>
      </c>
      <c r="AA85" s="102">
        <f t="shared" si="5"/>
        <v>0</v>
      </c>
    </row>
    <row r="86" spans="1:27" ht="15.75" customHeight="1">
      <c r="A86" s="155">
        <v>78</v>
      </c>
      <c r="B86" s="56" t="s">
        <v>138</v>
      </c>
      <c r="C86" s="57" t="s">
        <v>30</v>
      </c>
      <c r="D86" s="79"/>
      <c r="E86" s="79"/>
      <c r="F86" s="9"/>
      <c r="G86" s="314">
        <v>1</v>
      </c>
      <c r="H86" s="262"/>
      <c r="I86" s="262"/>
      <c r="J86" s="262"/>
      <c r="K86" s="314">
        <v>1</v>
      </c>
      <c r="L86" s="262"/>
      <c r="M86" s="314">
        <v>1</v>
      </c>
      <c r="N86" s="262"/>
      <c r="O86" s="262"/>
      <c r="P86" s="262"/>
      <c r="Q86" s="262"/>
      <c r="R86" s="262"/>
      <c r="S86" s="314">
        <v>1</v>
      </c>
      <c r="T86" s="262"/>
      <c r="U86" s="262"/>
      <c r="V86" s="314">
        <v>1</v>
      </c>
      <c r="W86" s="288"/>
      <c r="X86" s="288"/>
      <c r="Y86" s="288"/>
      <c r="Z86" s="166">
        <f t="shared" si="4"/>
        <v>5</v>
      </c>
      <c r="AA86" s="102">
        <f t="shared" si="5"/>
        <v>175</v>
      </c>
    </row>
    <row r="87" spans="1:27" ht="15.75" customHeight="1">
      <c r="A87" s="108">
        <v>79</v>
      </c>
      <c r="B87" s="56" t="s">
        <v>441</v>
      </c>
      <c r="C87" s="57" t="s">
        <v>31</v>
      </c>
      <c r="D87" s="68"/>
      <c r="E87" s="68"/>
      <c r="F87" s="224"/>
      <c r="G87" s="262"/>
      <c r="H87" s="262"/>
      <c r="I87" s="262"/>
      <c r="J87" s="262"/>
      <c r="K87" s="10"/>
      <c r="L87" s="262"/>
      <c r="M87" s="262"/>
      <c r="N87" s="262"/>
      <c r="O87" s="262"/>
      <c r="P87" s="262"/>
      <c r="Q87" s="262"/>
      <c r="R87" s="48"/>
      <c r="S87" s="262"/>
      <c r="T87" s="262"/>
      <c r="U87" s="262"/>
      <c r="V87" s="262"/>
      <c r="W87" s="288"/>
      <c r="X87" s="288"/>
      <c r="Y87" s="288"/>
      <c r="Z87" s="166">
        <f t="shared" si="4"/>
        <v>0</v>
      </c>
      <c r="AA87" s="102">
        <f t="shared" si="5"/>
        <v>0</v>
      </c>
    </row>
    <row r="88" spans="1:27" ht="15.75" customHeight="1">
      <c r="A88" s="155">
        <v>80</v>
      </c>
      <c r="B88" s="56" t="s">
        <v>442</v>
      </c>
      <c r="C88" s="57" t="s">
        <v>31</v>
      </c>
      <c r="D88" s="68"/>
      <c r="E88" s="68"/>
      <c r="F88" s="50"/>
      <c r="G88" s="262"/>
      <c r="H88" s="262"/>
      <c r="I88" s="262"/>
      <c r="J88" s="314">
        <v>1</v>
      </c>
      <c r="K88" s="262"/>
      <c r="L88" s="262"/>
      <c r="M88" s="314">
        <v>1</v>
      </c>
      <c r="N88" s="262"/>
      <c r="O88" s="395">
        <v>0</v>
      </c>
      <c r="P88" s="262"/>
      <c r="Q88" s="262"/>
      <c r="R88" s="314">
        <v>1</v>
      </c>
      <c r="S88" s="262"/>
      <c r="T88" s="314">
        <v>1</v>
      </c>
      <c r="U88" s="262"/>
      <c r="V88" s="262"/>
      <c r="W88" s="315">
        <v>0</v>
      </c>
      <c r="X88" s="288"/>
      <c r="Y88" s="288"/>
      <c r="Z88" s="166">
        <f t="shared" si="4"/>
        <v>4</v>
      </c>
      <c r="AA88" s="102">
        <f t="shared" si="5"/>
        <v>140</v>
      </c>
    </row>
    <row r="89" spans="1:27" ht="15.75" customHeight="1">
      <c r="A89" s="108">
        <v>81</v>
      </c>
      <c r="B89" s="56" t="s">
        <v>472</v>
      </c>
      <c r="C89" s="57" t="s">
        <v>31</v>
      </c>
      <c r="D89" s="68"/>
      <c r="E89" s="68"/>
      <c r="F89" s="139" t="s">
        <v>461</v>
      </c>
      <c r="G89" s="308">
        <v>1</v>
      </c>
      <c r="H89" s="314">
        <v>1</v>
      </c>
      <c r="I89" s="48"/>
      <c r="J89" s="314">
        <v>1</v>
      </c>
      <c r="K89" s="314">
        <v>1</v>
      </c>
      <c r="L89" s="314">
        <v>1</v>
      </c>
      <c r="M89" s="314">
        <v>1</v>
      </c>
      <c r="N89" s="314">
        <v>1</v>
      </c>
      <c r="O89" s="314">
        <v>1</v>
      </c>
      <c r="P89" s="314">
        <v>1</v>
      </c>
      <c r="Q89" s="314">
        <v>1</v>
      </c>
      <c r="R89" s="314">
        <v>1</v>
      </c>
      <c r="S89" s="314">
        <v>1</v>
      </c>
      <c r="T89" s="314">
        <v>1</v>
      </c>
      <c r="U89" s="314">
        <v>1</v>
      </c>
      <c r="V89" s="314">
        <v>1</v>
      </c>
      <c r="W89" s="315">
        <v>1</v>
      </c>
      <c r="X89" s="315">
        <v>1</v>
      </c>
      <c r="Y89" s="315"/>
      <c r="Z89" s="166">
        <f t="shared" si="4"/>
        <v>17</v>
      </c>
      <c r="AA89" s="102">
        <f t="shared" si="5"/>
        <v>595</v>
      </c>
    </row>
    <row r="90" spans="1:27" ht="15.75" customHeight="1">
      <c r="A90" s="155">
        <v>82</v>
      </c>
      <c r="B90" s="56" t="s">
        <v>670</v>
      </c>
      <c r="C90" s="57" t="s">
        <v>28</v>
      </c>
      <c r="D90" s="68"/>
      <c r="E90" s="68"/>
      <c r="F90" s="50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316">
        <v>1</v>
      </c>
      <c r="S90" s="262"/>
      <c r="T90" s="262"/>
      <c r="U90" s="262"/>
      <c r="V90" s="262"/>
      <c r="W90" s="288"/>
      <c r="X90" s="288"/>
      <c r="Y90" s="288"/>
      <c r="Z90" s="166">
        <f t="shared" si="4"/>
        <v>1</v>
      </c>
      <c r="AA90" s="102">
        <f t="shared" si="5"/>
        <v>35</v>
      </c>
    </row>
    <row r="91" spans="1:27" ht="15.75" customHeight="1">
      <c r="A91" s="108">
        <v>83</v>
      </c>
      <c r="B91" s="56" t="s">
        <v>163</v>
      </c>
      <c r="C91" s="50" t="s">
        <v>30</v>
      </c>
      <c r="D91" s="68"/>
      <c r="E91" s="68"/>
      <c r="F91" s="139" t="s">
        <v>461</v>
      </c>
      <c r="G91" s="314">
        <v>1</v>
      </c>
      <c r="H91" s="314">
        <v>1</v>
      </c>
      <c r="I91" s="48"/>
      <c r="J91" s="314">
        <v>1</v>
      </c>
      <c r="K91" s="314">
        <v>1</v>
      </c>
      <c r="L91" s="314">
        <v>1</v>
      </c>
      <c r="M91" s="262"/>
      <c r="N91" s="314">
        <v>1</v>
      </c>
      <c r="O91" s="314">
        <v>1</v>
      </c>
      <c r="P91" s="314">
        <v>1</v>
      </c>
      <c r="Q91" s="314">
        <v>1</v>
      </c>
      <c r="R91" s="314">
        <v>1</v>
      </c>
      <c r="S91" s="262"/>
      <c r="T91" s="314">
        <v>1</v>
      </c>
      <c r="U91" s="314">
        <v>1</v>
      </c>
      <c r="V91" s="314">
        <v>1</v>
      </c>
      <c r="W91" s="315">
        <v>1</v>
      </c>
      <c r="X91" s="315">
        <v>1</v>
      </c>
      <c r="Y91" s="288"/>
      <c r="Z91" s="166">
        <f t="shared" si="4"/>
        <v>15</v>
      </c>
      <c r="AA91" s="102">
        <f t="shared" si="5"/>
        <v>525</v>
      </c>
    </row>
    <row r="92" spans="1:27" ht="15.75" customHeight="1">
      <c r="A92" s="155">
        <v>84</v>
      </c>
      <c r="B92" s="56" t="s">
        <v>741</v>
      </c>
      <c r="C92" s="50" t="s">
        <v>562</v>
      </c>
      <c r="D92" s="68"/>
      <c r="E92" s="68"/>
      <c r="F92" s="86"/>
      <c r="G92" s="262"/>
      <c r="H92" s="262"/>
      <c r="I92" s="262"/>
      <c r="J92" s="262"/>
      <c r="K92" s="314">
        <v>1</v>
      </c>
      <c r="L92" s="262"/>
      <c r="M92" s="262"/>
      <c r="N92" s="262"/>
      <c r="O92" s="262"/>
      <c r="P92" s="262"/>
      <c r="Q92" s="262"/>
      <c r="R92" s="262"/>
      <c r="S92" s="314">
        <v>1</v>
      </c>
      <c r="T92" s="262"/>
      <c r="U92" s="262"/>
      <c r="V92" s="262"/>
      <c r="W92" s="288"/>
      <c r="X92" s="288"/>
      <c r="Y92" s="288"/>
      <c r="Z92" s="166">
        <f t="shared" si="4"/>
        <v>2</v>
      </c>
      <c r="AA92" s="102">
        <f t="shared" si="5"/>
        <v>70</v>
      </c>
    </row>
    <row r="93" spans="1:27" ht="15.75" customHeight="1">
      <c r="A93" s="108">
        <v>85</v>
      </c>
      <c r="B93" s="56" t="s">
        <v>553</v>
      </c>
      <c r="C93" s="50" t="s">
        <v>30</v>
      </c>
      <c r="D93" s="68"/>
      <c r="E93" s="68"/>
      <c r="F93" s="386"/>
      <c r="G93" s="314">
        <v>1</v>
      </c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369"/>
      <c r="X93" s="369"/>
      <c r="Y93" s="369"/>
      <c r="Z93" s="166">
        <f t="shared" si="4"/>
        <v>1</v>
      </c>
      <c r="AA93" s="102">
        <f t="shared" si="5"/>
        <v>35</v>
      </c>
    </row>
    <row r="94" spans="1:27" ht="15.75" customHeight="1">
      <c r="A94" s="155">
        <v>86</v>
      </c>
      <c r="B94" s="56" t="s">
        <v>444</v>
      </c>
      <c r="C94" s="57" t="s">
        <v>31</v>
      </c>
      <c r="D94" s="68"/>
      <c r="E94" s="68"/>
      <c r="F94" s="224"/>
      <c r="G94" s="314">
        <v>1</v>
      </c>
      <c r="H94" s="314">
        <v>1</v>
      </c>
      <c r="I94" s="48"/>
      <c r="J94" s="314">
        <v>1</v>
      </c>
      <c r="K94" s="314">
        <v>1</v>
      </c>
      <c r="L94" s="314">
        <v>1</v>
      </c>
      <c r="M94" s="314">
        <v>1</v>
      </c>
      <c r="N94" s="314">
        <v>1</v>
      </c>
      <c r="O94" s="314">
        <v>1</v>
      </c>
      <c r="P94" s="314">
        <v>1</v>
      </c>
      <c r="Q94" s="314">
        <v>1</v>
      </c>
      <c r="R94" s="314">
        <v>1</v>
      </c>
      <c r="S94" s="314">
        <v>1</v>
      </c>
      <c r="T94" s="316">
        <v>1</v>
      </c>
      <c r="U94" s="316">
        <v>1</v>
      </c>
      <c r="V94" s="316">
        <v>1</v>
      </c>
      <c r="W94" s="323">
        <v>1</v>
      </c>
      <c r="X94" s="323">
        <v>1</v>
      </c>
      <c r="Y94" s="323"/>
      <c r="Z94" s="166">
        <f t="shared" si="4"/>
        <v>17</v>
      </c>
      <c r="AA94" s="102">
        <f t="shared" si="5"/>
        <v>595</v>
      </c>
    </row>
    <row r="95" spans="1:27" ht="15.75" customHeight="1">
      <c r="A95" s="108">
        <v>87</v>
      </c>
      <c r="B95" s="2" t="s">
        <v>213</v>
      </c>
      <c r="C95" s="50" t="s">
        <v>30</v>
      </c>
      <c r="D95" s="68"/>
      <c r="E95" s="68"/>
      <c r="F95" s="50"/>
      <c r="G95" s="262"/>
      <c r="H95" s="262"/>
      <c r="I95" s="48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88"/>
      <c r="X95" s="288"/>
      <c r="Y95" s="288"/>
      <c r="Z95" s="166">
        <f t="shared" si="4"/>
        <v>0</v>
      </c>
      <c r="AA95" s="102">
        <f t="shared" si="5"/>
        <v>0</v>
      </c>
    </row>
    <row r="96" spans="1:27" ht="15.75" customHeight="1">
      <c r="A96" s="155">
        <v>88</v>
      </c>
      <c r="B96" s="56" t="s">
        <v>445</v>
      </c>
      <c r="C96" s="57" t="s">
        <v>31</v>
      </c>
      <c r="D96" s="68"/>
      <c r="E96" s="68"/>
      <c r="F96" s="50"/>
      <c r="G96" s="262"/>
      <c r="H96" s="262"/>
      <c r="I96" s="48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88"/>
      <c r="X96" s="288"/>
      <c r="Y96" s="288"/>
      <c r="Z96" s="166">
        <f t="shared" si="4"/>
        <v>0</v>
      </c>
      <c r="AA96" s="102">
        <f t="shared" si="5"/>
        <v>0</v>
      </c>
    </row>
    <row r="97" spans="1:27" ht="15.75" customHeight="1">
      <c r="A97" s="108">
        <v>89</v>
      </c>
      <c r="B97" s="56" t="s">
        <v>89</v>
      </c>
      <c r="C97" s="57" t="s">
        <v>28</v>
      </c>
      <c r="D97" s="68"/>
      <c r="E97" s="68"/>
      <c r="F97" s="50"/>
      <c r="G97" s="262"/>
      <c r="H97" s="262"/>
      <c r="I97" s="48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88"/>
      <c r="X97" s="288"/>
      <c r="Y97" s="288"/>
      <c r="Z97" s="166">
        <f t="shared" si="4"/>
        <v>0</v>
      </c>
      <c r="AA97" s="102">
        <f t="shared" si="5"/>
        <v>0</v>
      </c>
    </row>
    <row r="98" spans="1:27" ht="15.75" customHeight="1">
      <c r="A98" s="155">
        <v>90</v>
      </c>
      <c r="B98" s="56" t="s">
        <v>656</v>
      </c>
      <c r="C98" s="57" t="s">
        <v>30</v>
      </c>
      <c r="D98" s="68"/>
      <c r="E98" s="68"/>
      <c r="F98" s="50"/>
      <c r="G98" s="262"/>
      <c r="H98" s="262"/>
      <c r="I98" s="48"/>
      <c r="J98" s="262"/>
      <c r="K98" s="262"/>
      <c r="L98" s="314">
        <v>1</v>
      </c>
      <c r="M98" s="262"/>
      <c r="N98" s="262"/>
      <c r="O98" s="262"/>
      <c r="P98" s="262"/>
      <c r="Q98" s="314">
        <v>1</v>
      </c>
      <c r="R98" s="262"/>
      <c r="S98" s="262"/>
      <c r="T98" s="262"/>
      <c r="U98" s="262"/>
      <c r="V98" s="314">
        <v>1</v>
      </c>
      <c r="W98" s="288"/>
      <c r="X98" s="288"/>
      <c r="Y98" s="288"/>
      <c r="Z98" s="166">
        <f t="shared" si="4"/>
        <v>3</v>
      </c>
      <c r="AA98" s="102">
        <f t="shared" si="5"/>
        <v>105</v>
      </c>
    </row>
    <row r="99" spans="1:27" ht="15.75" customHeight="1">
      <c r="A99" s="108">
        <v>91</v>
      </c>
      <c r="B99" s="56" t="s">
        <v>519</v>
      </c>
      <c r="C99" s="57" t="s">
        <v>31</v>
      </c>
      <c r="D99" s="68"/>
      <c r="E99" s="68"/>
      <c r="F99" s="50"/>
      <c r="G99" s="314">
        <v>1</v>
      </c>
      <c r="H99" s="314">
        <v>1</v>
      </c>
      <c r="I99" s="48"/>
      <c r="J99" s="314">
        <v>1</v>
      </c>
      <c r="K99" s="314">
        <v>1</v>
      </c>
      <c r="L99" s="314">
        <v>1</v>
      </c>
      <c r="M99" s="314">
        <v>1</v>
      </c>
      <c r="N99" s="314">
        <v>1</v>
      </c>
      <c r="O99" s="314">
        <v>1</v>
      </c>
      <c r="P99" s="314">
        <v>1</v>
      </c>
      <c r="Q99" s="314">
        <v>1</v>
      </c>
      <c r="R99" s="314">
        <v>1</v>
      </c>
      <c r="S99" s="314">
        <v>1</v>
      </c>
      <c r="T99" s="48"/>
      <c r="U99" s="48"/>
      <c r="V99" s="48"/>
      <c r="W99" s="369"/>
      <c r="X99" s="369"/>
      <c r="Y99" s="369"/>
      <c r="Z99" s="166">
        <f t="shared" si="4"/>
        <v>12</v>
      </c>
      <c r="AA99" s="102">
        <f t="shared" si="5"/>
        <v>420</v>
      </c>
    </row>
    <row r="100" spans="1:27" ht="15.75" customHeight="1">
      <c r="A100" s="155">
        <v>92</v>
      </c>
      <c r="B100" s="56" t="s">
        <v>196</v>
      </c>
      <c r="C100" s="57" t="s">
        <v>30</v>
      </c>
      <c r="D100" s="68"/>
      <c r="E100" s="68"/>
      <c r="F100" s="50"/>
      <c r="G100" s="262"/>
      <c r="H100" s="262"/>
      <c r="I100" s="48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88"/>
      <c r="X100" s="288"/>
      <c r="Y100" s="288"/>
      <c r="Z100" s="166">
        <f t="shared" si="4"/>
        <v>0</v>
      </c>
      <c r="AA100" s="102">
        <f t="shared" si="5"/>
        <v>0</v>
      </c>
    </row>
    <row r="101" spans="1:27" ht="15.75" customHeight="1">
      <c r="A101" s="108">
        <v>93</v>
      </c>
      <c r="B101" s="56" t="s">
        <v>246</v>
      </c>
      <c r="C101" s="57" t="s">
        <v>31</v>
      </c>
      <c r="D101" s="68"/>
      <c r="E101" s="68"/>
      <c r="F101" s="50"/>
      <c r="G101" s="262"/>
      <c r="H101" s="262"/>
      <c r="I101" s="48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88"/>
      <c r="X101" s="288"/>
      <c r="Y101" s="288"/>
      <c r="Z101" s="166">
        <f t="shared" si="4"/>
        <v>0</v>
      </c>
      <c r="AA101" s="102">
        <f t="shared" si="5"/>
        <v>0</v>
      </c>
    </row>
    <row r="102" spans="1:27" ht="15.75" customHeight="1">
      <c r="A102" s="155">
        <v>94</v>
      </c>
      <c r="B102" s="56" t="s">
        <v>666</v>
      </c>
      <c r="C102" s="57" t="s">
        <v>586</v>
      </c>
      <c r="D102" s="68"/>
      <c r="E102" s="68"/>
      <c r="F102" s="50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88"/>
      <c r="X102" s="288"/>
      <c r="Y102" s="288"/>
      <c r="Z102" s="166">
        <f t="shared" si="4"/>
        <v>0</v>
      </c>
      <c r="AA102" s="102">
        <f t="shared" si="5"/>
        <v>0</v>
      </c>
    </row>
    <row r="103" spans="1:27" ht="15.75" customHeight="1">
      <c r="A103" s="108">
        <v>95</v>
      </c>
      <c r="B103" s="56" t="s">
        <v>564</v>
      </c>
      <c r="C103" s="57" t="s">
        <v>28</v>
      </c>
      <c r="D103" s="68"/>
      <c r="E103" s="68"/>
      <c r="F103" s="50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88"/>
      <c r="X103" s="288"/>
      <c r="Y103" s="288"/>
      <c r="Z103" s="166">
        <f t="shared" si="4"/>
        <v>0</v>
      </c>
      <c r="AA103" s="102">
        <f t="shared" si="5"/>
        <v>0</v>
      </c>
    </row>
    <row r="104" spans="1:27" ht="15.75" customHeight="1">
      <c r="A104" s="155">
        <v>96</v>
      </c>
      <c r="B104" s="56" t="s">
        <v>546</v>
      </c>
      <c r="C104" s="57" t="s">
        <v>28</v>
      </c>
      <c r="D104" s="68"/>
      <c r="E104" s="68"/>
      <c r="F104" s="50"/>
      <c r="G104" s="314">
        <v>1</v>
      </c>
      <c r="H104" s="314">
        <v>1</v>
      </c>
      <c r="I104" s="48"/>
      <c r="J104" s="314">
        <v>1</v>
      </c>
      <c r="K104" s="314">
        <v>1</v>
      </c>
      <c r="L104" s="314">
        <v>1</v>
      </c>
      <c r="M104" s="314">
        <v>1</v>
      </c>
      <c r="N104" s="314">
        <v>1</v>
      </c>
      <c r="O104" s="314">
        <v>1</v>
      </c>
      <c r="P104" s="314">
        <v>1</v>
      </c>
      <c r="Q104" s="314">
        <v>1</v>
      </c>
      <c r="R104" s="314">
        <v>1</v>
      </c>
      <c r="S104" s="314">
        <v>1</v>
      </c>
      <c r="T104" s="316">
        <v>1</v>
      </c>
      <c r="U104" s="316">
        <v>1</v>
      </c>
      <c r="V104" s="316">
        <v>1</v>
      </c>
      <c r="W104" s="323">
        <v>1</v>
      </c>
      <c r="X104" s="323">
        <v>1</v>
      </c>
      <c r="Y104" s="323"/>
      <c r="Z104" s="166">
        <f t="shared" si="4"/>
        <v>17</v>
      </c>
      <c r="AA104" s="102">
        <f t="shared" si="5"/>
        <v>595</v>
      </c>
    </row>
    <row r="105" spans="1:27" ht="15.75" customHeight="1">
      <c r="A105" s="108">
        <v>97</v>
      </c>
      <c r="B105" s="56" t="s">
        <v>75</v>
      </c>
      <c r="C105" s="57" t="s">
        <v>31</v>
      </c>
      <c r="D105" s="68"/>
      <c r="E105" s="68"/>
      <c r="F105" s="50"/>
      <c r="G105" s="314">
        <v>1</v>
      </c>
      <c r="H105" s="314">
        <v>1</v>
      </c>
      <c r="I105" s="314"/>
      <c r="J105" s="314">
        <v>1</v>
      </c>
      <c r="K105" s="314">
        <v>1</v>
      </c>
      <c r="L105" s="314">
        <v>1</v>
      </c>
      <c r="M105" s="314">
        <v>1</v>
      </c>
      <c r="N105" s="314">
        <v>1</v>
      </c>
      <c r="O105" s="314">
        <v>1</v>
      </c>
      <c r="P105" s="314">
        <v>1</v>
      </c>
      <c r="Q105" s="314">
        <v>1</v>
      </c>
      <c r="R105" s="314">
        <v>1</v>
      </c>
      <c r="S105" s="314">
        <v>1</v>
      </c>
      <c r="T105" s="314">
        <v>1</v>
      </c>
      <c r="U105" s="314">
        <v>1</v>
      </c>
      <c r="V105" s="314">
        <v>1</v>
      </c>
      <c r="W105" s="315">
        <v>1</v>
      </c>
      <c r="X105" s="315">
        <v>1</v>
      </c>
      <c r="Y105" s="315"/>
      <c r="Z105" s="166">
        <f t="shared" si="4"/>
        <v>17</v>
      </c>
      <c r="AA105" s="102">
        <f t="shared" si="5"/>
        <v>595</v>
      </c>
    </row>
    <row r="106" spans="1:27" ht="15.75" customHeight="1">
      <c r="A106" s="155">
        <v>98</v>
      </c>
      <c r="B106" s="56" t="s">
        <v>88</v>
      </c>
      <c r="C106" s="57" t="s">
        <v>28</v>
      </c>
      <c r="D106" s="68"/>
      <c r="E106" s="68"/>
      <c r="F106" s="50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88"/>
      <c r="X106" s="288"/>
      <c r="Y106" s="288"/>
      <c r="Z106" s="166">
        <f t="shared" si="4"/>
        <v>0</v>
      </c>
      <c r="AA106" s="102">
        <f t="shared" si="5"/>
        <v>0</v>
      </c>
    </row>
    <row r="107" spans="1:27" ht="15.75" customHeight="1">
      <c r="A107" s="108">
        <v>99</v>
      </c>
      <c r="B107" s="56" t="s">
        <v>585</v>
      </c>
      <c r="C107" s="57" t="s">
        <v>586</v>
      </c>
      <c r="D107" s="68"/>
      <c r="E107" s="68"/>
      <c r="F107" s="50"/>
      <c r="G107" s="314">
        <v>1</v>
      </c>
      <c r="H107" s="314">
        <v>1</v>
      </c>
      <c r="I107" s="48"/>
      <c r="J107" s="314">
        <v>1</v>
      </c>
      <c r="K107" s="314">
        <v>1</v>
      </c>
      <c r="L107" s="314">
        <v>1</v>
      </c>
      <c r="M107" s="314">
        <v>1</v>
      </c>
      <c r="N107" s="314">
        <v>1</v>
      </c>
      <c r="O107" s="314">
        <v>1</v>
      </c>
      <c r="P107" s="314">
        <v>1</v>
      </c>
      <c r="Q107" s="314">
        <v>1</v>
      </c>
      <c r="R107" s="314">
        <v>1</v>
      </c>
      <c r="S107" s="314">
        <v>1</v>
      </c>
      <c r="T107" s="316">
        <v>1</v>
      </c>
      <c r="U107" s="316">
        <v>1</v>
      </c>
      <c r="V107" s="316">
        <v>1</v>
      </c>
      <c r="W107" s="323">
        <v>1</v>
      </c>
      <c r="X107" s="323">
        <v>1</v>
      </c>
      <c r="Y107" s="323"/>
      <c r="Z107" s="166">
        <f t="shared" si="4"/>
        <v>17</v>
      </c>
      <c r="AA107" s="102">
        <f t="shared" si="5"/>
        <v>595</v>
      </c>
    </row>
    <row r="108" spans="1:27" ht="15.75" customHeight="1">
      <c r="A108" s="155">
        <v>100</v>
      </c>
      <c r="B108" s="56" t="s">
        <v>448</v>
      </c>
      <c r="C108" s="57" t="s">
        <v>30</v>
      </c>
      <c r="D108" s="68"/>
      <c r="E108" s="68"/>
      <c r="F108" s="50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88"/>
      <c r="X108" s="288"/>
      <c r="Y108" s="288"/>
      <c r="Z108" s="166">
        <f t="shared" si="4"/>
        <v>0</v>
      </c>
      <c r="AA108" s="102">
        <f t="shared" si="5"/>
        <v>0</v>
      </c>
    </row>
    <row r="109" spans="1:27" ht="15.75" customHeight="1">
      <c r="A109" s="108">
        <v>101</v>
      </c>
      <c r="B109" s="56" t="s">
        <v>570</v>
      </c>
      <c r="C109" s="57" t="s">
        <v>28</v>
      </c>
      <c r="D109" s="68"/>
      <c r="E109" s="68"/>
      <c r="F109" s="394" t="s">
        <v>774</v>
      </c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88"/>
      <c r="X109" s="288"/>
      <c r="Y109" s="288"/>
      <c r="Z109" s="166">
        <f t="shared" si="4"/>
        <v>0</v>
      </c>
      <c r="AA109" s="102">
        <f t="shared" si="5"/>
        <v>0</v>
      </c>
    </row>
    <row r="110" spans="1:27" ht="15.75" customHeight="1">
      <c r="A110" s="155">
        <v>102</v>
      </c>
      <c r="B110" s="56" t="s">
        <v>449</v>
      </c>
      <c r="C110" s="57" t="s">
        <v>31</v>
      </c>
      <c r="D110" s="68"/>
      <c r="E110" s="68"/>
      <c r="F110" s="50"/>
      <c r="G110" s="308">
        <v>1</v>
      </c>
      <c r="H110" s="48"/>
      <c r="I110" s="48"/>
      <c r="J110" s="48"/>
      <c r="K110" s="314">
        <v>1</v>
      </c>
      <c r="L110" s="48"/>
      <c r="M110" s="314">
        <v>1</v>
      </c>
      <c r="N110" s="48"/>
      <c r="O110" s="48"/>
      <c r="P110" s="314">
        <v>1</v>
      </c>
      <c r="Q110" s="314">
        <v>1</v>
      </c>
      <c r="R110" s="314">
        <v>1</v>
      </c>
      <c r="S110" s="48"/>
      <c r="T110" s="48"/>
      <c r="U110" s="314">
        <v>1</v>
      </c>
      <c r="V110" s="316">
        <v>1</v>
      </c>
      <c r="W110" s="315">
        <v>1</v>
      </c>
      <c r="X110" s="369"/>
      <c r="Y110" s="369"/>
      <c r="Z110" s="166">
        <f t="shared" si="4"/>
        <v>9</v>
      </c>
      <c r="AA110" s="102">
        <f t="shared" si="5"/>
        <v>315</v>
      </c>
    </row>
    <row r="111" spans="1:27" ht="15.75" customHeight="1">
      <c r="A111" s="108">
        <v>103</v>
      </c>
      <c r="B111" s="56" t="s">
        <v>247</v>
      </c>
      <c r="C111" s="57" t="s">
        <v>31</v>
      </c>
      <c r="D111" s="68"/>
      <c r="E111" s="68"/>
      <c r="F111" s="50"/>
      <c r="G111" s="262"/>
      <c r="H111" s="262"/>
      <c r="I111" s="48"/>
      <c r="J111" s="262"/>
      <c r="K111" s="262"/>
      <c r="L111" s="262"/>
      <c r="M111" s="262"/>
      <c r="N111" s="314">
        <v>1</v>
      </c>
      <c r="O111" s="262"/>
      <c r="P111" s="262"/>
      <c r="Q111" s="262"/>
      <c r="R111" s="262"/>
      <c r="S111" s="316">
        <v>1</v>
      </c>
      <c r="T111" s="262"/>
      <c r="U111" s="262"/>
      <c r="V111" s="262"/>
      <c r="W111" s="288"/>
      <c r="X111" s="288"/>
      <c r="Y111" s="288"/>
      <c r="Z111" s="166">
        <f t="shared" si="4"/>
        <v>2</v>
      </c>
      <c r="AA111" s="102">
        <f t="shared" si="5"/>
        <v>70</v>
      </c>
    </row>
    <row r="112" spans="1:27" ht="15.75" customHeight="1">
      <c r="A112" s="155">
        <v>104</v>
      </c>
      <c r="B112" s="56" t="s">
        <v>548</v>
      </c>
      <c r="C112" s="57" t="s">
        <v>28</v>
      </c>
      <c r="D112" s="68"/>
      <c r="E112" s="68"/>
      <c r="F112" s="50"/>
      <c r="G112" s="262"/>
      <c r="H112" s="262"/>
      <c r="I112" s="48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314">
        <v>1</v>
      </c>
      <c r="W112" s="288"/>
      <c r="X112" s="288"/>
      <c r="Y112" s="288"/>
      <c r="Z112" s="166">
        <f t="shared" si="4"/>
        <v>1</v>
      </c>
      <c r="AA112" s="102">
        <f t="shared" si="5"/>
        <v>35</v>
      </c>
    </row>
    <row r="113" spans="1:27" ht="15.75" customHeight="1">
      <c r="A113" s="108">
        <v>105</v>
      </c>
      <c r="B113" s="56" t="s">
        <v>450</v>
      </c>
      <c r="C113" s="57" t="s">
        <v>31</v>
      </c>
      <c r="D113" s="68"/>
      <c r="E113" s="68"/>
      <c r="F113" s="50"/>
      <c r="G113" s="262"/>
      <c r="H113" s="262"/>
      <c r="I113" s="48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88"/>
      <c r="X113" s="288"/>
      <c r="Y113" s="288"/>
      <c r="Z113" s="166">
        <f t="shared" si="4"/>
        <v>0</v>
      </c>
      <c r="AA113" s="102">
        <f t="shared" si="5"/>
        <v>0</v>
      </c>
    </row>
    <row r="114" spans="1:27" ht="15.75" customHeight="1">
      <c r="A114" s="155">
        <v>106</v>
      </c>
      <c r="B114" s="56" t="s">
        <v>451</v>
      </c>
      <c r="C114" s="57" t="s">
        <v>30</v>
      </c>
      <c r="D114" s="68"/>
      <c r="E114" s="68"/>
      <c r="F114" s="50"/>
      <c r="G114" s="262"/>
      <c r="H114" s="262"/>
      <c r="I114" s="48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88"/>
      <c r="X114" s="288"/>
      <c r="Y114" s="288"/>
      <c r="Z114" s="166">
        <f t="shared" si="4"/>
        <v>0</v>
      </c>
      <c r="AA114" s="102">
        <f t="shared" si="5"/>
        <v>0</v>
      </c>
    </row>
    <row r="115" spans="1:27" ht="15.75" customHeight="1">
      <c r="A115" s="108">
        <v>107</v>
      </c>
      <c r="B115" s="56" t="s">
        <v>452</v>
      </c>
      <c r="C115" s="57" t="s">
        <v>31</v>
      </c>
      <c r="D115" s="68"/>
      <c r="E115" s="68"/>
      <c r="F115" s="50"/>
      <c r="G115" s="262"/>
      <c r="H115" s="262"/>
      <c r="I115" s="48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88"/>
      <c r="X115" s="288"/>
      <c r="Y115" s="288"/>
      <c r="Z115" s="166">
        <f t="shared" si="4"/>
        <v>0</v>
      </c>
      <c r="AA115" s="102">
        <f t="shared" si="5"/>
        <v>0</v>
      </c>
    </row>
    <row r="116" spans="1:27" ht="15.75" customHeight="1">
      <c r="A116" s="155">
        <v>108</v>
      </c>
      <c r="B116" s="56" t="s">
        <v>244</v>
      </c>
      <c r="C116" s="57" t="s">
        <v>31</v>
      </c>
      <c r="D116" s="68"/>
      <c r="E116" s="68"/>
      <c r="F116" s="50"/>
      <c r="G116" s="262"/>
      <c r="H116" s="262"/>
      <c r="I116" s="48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88"/>
      <c r="X116" s="288"/>
      <c r="Y116" s="288"/>
      <c r="Z116" s="166">
        <f t="shared" si="4"/>
        <v>0</v>
      </c>
      <c r="AA116" s="102">
        <f t="shared" si="5"/>
        <v>0</v>
      </c>
    </row>
    <row r="117" spans="1:27" ht="15.75" customHeight="1">
      <c r="A117" s="108">
        <v>109</v>
      </c>
      <c r="B117" s="56" t="s">
        <v>166</v>
      </c>
      <c r="C117" s="57" t="s">
        <v>31</v>
      </c>
      <c r="D117" s="68"/>
      <c r="E117" s="68"/>
      <c r="F117" s="50"/>
      <c r="G117" s="314">
        <v>1</v>
      </c>
      <c r="H117" s="314">
        <v>1</v>
      </c>
      <c r="I117" s="48"/>
      <c r="J117" s="314">
        <v>1</v>
      </c>
      <c r="K117" s="314">
        <v>1</v>
      </c>
      <c r="L117" s="314">
        <v>1</v>
      </c>
      <c r="M117" s="314">
        <v>1</v>
      </c>
      <c r="N117" s="314">
        <v>1</v>
      </c>
      <c r="O117" s="314">
        <v>1</v>
      </c>
      <c r="P117" s="314">
        <v>1</v>
      </c>
      <c r="Q117" s="314">
        <v>1</v>
      </c>
      <c r="R117" s="314">
        <v>1</v>
      </c>
      <c r="S117" s="314">
        <v>1</v>
      </c>
      <c r="T117" s="314">
        <v>1</v>
      </c>
      <c r="U117" s="314">
        <v>1</v>
      </c>
      <c r="V117" s="314">
        <v>1</v>
      </c>
      <c r="W117" s="315">
        <v>1</v>
      </c>
      <c r="X117" s="315">
        <v>1</v>
      </c>
      <c r="Y117" s="369"/>
      <c r="Z117" s="166">
        <f t="shared" si="4"/>
        <v>17</v>
      </c>
      <c r="AA117" s="102">
        <f t="shared" si="5"/>
        <v>595</v>
      </c>
    </row>
    <row r="118" spans="1:27" ht="15.75" customHeight="1">
      <c r="A118" s="155">
        <v>110</v>
      </c>
      <c r="B118" s="2" t="s">
        <v>212</v>
      </c>
      <c r="C118" s="50" t="s">
        <v>30</v>
      </c>
      <c r="D118" s="68"/>
      <c r="E118" s="68"/>
      <c r="F118" s="50"/>
      <c r="G118" s="314">
        <v>1</v>
      </c>
      <c r="H118" s="314">
        <v>1</v>
      </c>
      <c r="I118" s="48"/>
      <c r="J118" s="314">
        <v>1</v>
      </c>
      <c r="K118" s="314">
        <v>1</v>
      </c>
      <c r="L118" s="314">
        <v>1</v>
      </c>
      <c r="M118" s="314">
        <v>1</v>
      </c>
      <c r="N118" s="314">
        <v>1</v>
      </c>
      <c r="O118" s="314">
        <v>1</v>
      </c>
      <c r="P118" s="314">
        <v>1</v>
      </c>
      <c r="Q118" s="314">
        <v>1</v>
      </c>
      <c r="R118" s="314">
        <v>1</v>
      </c>
      <c r="S118" s="314">
        <v>1</v>
      </c>
      <c r="T118" s="262"/>
      <c r="U118" s="316">
        <v>1</v>
      </c>
      <c r="V118" s="316">
        <v>1</v>
      </c>
      <c r="W118" s="323">
        <v>1</v>
      </c>
      <c r="X118" s="323">
        <v>1</v>
      </c>
      <c r="Y118" s="288"/>
      <c r="Z118" s="166">
        <f t="shared" si="4"/>
        <v>16</v>
      </c>
      <c r="AA118" s="102">
        <f t="shared" si="5"/>
        <v>560</v>
      </c>
    </row>
    <row r="119" spans="1:27" ht="15.75" customHeight="1">
      <c r="A119" s="108">
        <v>111</v>
      </c>
      <c r="B119" s="2" t="s">
        <v>416</v>
      </c>
      <c r="C119" s="50"/>
      <c r="D119" s="68"/>
      <c r="E119" s="68"/>
      <c r="F119" s="50"/>
      <c r="G119" s="262"/>
      <c r="H119" s="262"/>
      <c r="I119" s="48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88"/>
      <c r="X119" s="288"/>
      <c r="Y119" s="288"/>
      <c r="Z119" s="166">
        <f t="shared" si="4"/>
        <v>0</v>
      </c>
      <c r="AA119" s="102">
        <f t="shared" si="5"/>
        <v>0</v>
      </c>
    </row>
    <row r="120" spans="1:27" ht="15.75" customHeight="1">
      <c r="A120" s="155">
        <v>112</v>
      </c>
      <c r="B120" s="2" t="s">
        <v>453</v>
      </c>
      <c r="C120" s="50"/>
      <c r="D120" s="68"/>
      <c r="E120" s="68"/>
      <c r="F120" s="50"/>
      <c r="G120" s="262"/>
      <c r="H120" s="262"/>
      <c r="I120" s="48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315">
        <v>1</v>
      </c>
      <c r="X120" s="288"/>
      <c r="Y120" s="288"/>
      <c r="Z120" s="166">
        <f t="shared" si="4"/>
        <v>1</v>
      </c>
      <c r="AA120" s="102">
        <f t="shared" si="5"/>
        <v>35</v>
      </c>
    </row>
    <row r="121" spans="1:27" ht="15.75" customHeight="1">
      <c r="A121" s="108">
        <v>113</v>
      </c>
      <c r="B121" s="56" t="s">
        <v>204</v>
      </c>
      <c r="C121" s="57" t="s">
        <v>31</v>
      </c>
      <c r="D121" s="68"/>
      <c r="E121" s="68"/>
      <c r="F121" s="50"/>
      <c r="G121" s="262"/>
      <c r="H121" s="262"/>
      <c r="I121" s="48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88"/>
      <c r="X121" s="288"/>
      <c r="Y121" s="288"/>
      <c r="Z121" s="166">
        <f t="shared" si="4"/>
        <v>0</v>
      </c>
      <c r="AA121" s="102">
        <f t="shared" si="5"/>
        <v>0</v>
      </c>
    </row>
    <row r="122" spans="1:27" ht="15.75" customHeight="1">
      <c r="A122" s="155">
        <v>114</v>
      </c>
      <c r="B122" s="56" t="s">
        <v>574</v>
      </c>
      <c r="C122" s="57" t="s">
        <v>28</v>
      </c>
      <c r="D122" s="68"/>
      <c r="E122" s="68"/>
      <c r="F122" s="139" t="s">
        <v>661</v>
      </c>
      <c r="G122" s="314">
        <v>1</v>
      </c>
      <c r="H122" s="262"/>
      <c r="I122" s="262"/>
      <c r="J122" s="314">
        <v>1</v>
      </c>
      <c r="K122" s="10"/>
      <c r="L122" s="10"/>
      <c r="M122" s="10"/>
      <c r="N122" s="316">
        <v>1</v>
      </c>
      <c r="O122" s="262"/>
      <c r="P122" s="262"/>
      <c r="Q122" s="262"/>
      <c r="R122" s="316">
        <v>1</v>
      </c>
      <c r="S122" s="262"/>
      <c r="T122" s="316">
        <v>1</v>
      </c>
      <c r="U122" s="316">
        <v>1</v>
      </c>
      <c r="V122" s="316">
        <v>1</v>
      </c>
      <c r="W122" s="323">
        <v>1</v>
      </c>
      <c r="X122" s="323">
        <v>1</v>
      </c>
      <c r="Y122" s="288"/>
      <c r="Z122" s="166">
        <f t="shared" si="4"/>
        <v>9</v>
      </c>
      <c r="AA122" s="102">
        <f t="shared" si="5"/>
        <v>315</v>
      </c>
    </row>
    <row r="123" spans="1:27" ht="15.75" customHeight="1">
      <c r="A123" s="108">
        <v>115</v>
      </c>
      <c r="B123" s="56" t="s">
        <v>418</v>
      </c>
      <c r="C123" s="57" t="s">
        <v>28</v>
      </c>
      <c r="D123" s="68"/>
      <c r="E123" s="68"/>
      <c r="F123" s="50"/>
      <c r="G123" s="262"/>
      <c r="H123" s="262"/>
      <c r="I123" s="262"/>
      <c r="J123" s="262"/>
      <c r="K123" s="10"/>
      <c r="L123" s="10"/>
      <c r="M123" s="10"/>
      <c r="N123" s="262"/>
      <c r="O123" s="262"/>
      <c r="P123" s="262"/>
      <c r="Q123" s="262"/>
      <c r="R123" s="262"/>
      <c r="S123" s="262"/>
      <c r="T123" s="262"/>
      <c r="U123" s="262"/>
      <c r="V123" s="262"/>
      <c r="W123" s="288"/>
      <c r="X123" s="288"/>
      <c r="Y123" s="288"/>
      <c r="Z123" s="166">
        <f t="shared" si="4"/>
        <v>0</v>
      </c>
      <c r="AA123" s="102">
        <f t="shared" si="5"/>
        <v>0</v>
      </c>
    </row>
    <row r="124" spans="1:27" ht="15.75" customHeight="1">
      <c r="A124" s="155">
        <v>116</v>
      </c>
      <c r="B124" s="56" t="s">
        <v>456</v>
      </c>
      <c r="C124" s="57" t="s">
        <v>30</v>
      </c>
      <c r="D124" s="68"/>
      <c r="E124" s="68"/>
      <c r="F124" s="50"/>
      <c r="G124" s="262"/>
      <c r="H124" s="262"/>
      <c r="I124" s="262"/>
      <c r="J124" s="262"/>
      <c r="K124" s="314">
        <v>1</v>
      </c>
      <c r="L124" s="262"/>
      <c r="M124" s="262"/>
      <c r="N124" s="262"/>
      <c r="O124" s="262"/>
      <c r="P124" s="262"/>
      <c r="Q124" s="262"/>
      <c r="R124" s="314">
        <v>1</v>
      </c>
      <c r="S124" s="262"/>
      <c r="T124" s="262"/>
      <c r="U124" s="262"/>
      <c r="V124" s="262"/>
      <c r="W124" s="288"/>
      <c r="X124" s="288"/>
      <c r="Y124" s="288"/>
      <c r="Z124" s="166">
        <f t="shared" si="4"/>
        <v>2</v>
      </c>
      <c r="AA124" s="102">
        <f t="shared" si="5"/>
        <v>70</v>
      </c>
    </row>
    <row r="125" spans="1:27" ht="15.75" customHeight="1">
      <c r="A125" s="108">
        <v>117</v>
      </c>
      <c r="B125" s="56" t="s">
        <v>190</v>
      </c>
      <c r="C125" s="57" t="s">
        <v>28</v>
      </c>
      <c r="D125" s="68"/>
      <c r="E125" s="68"/>
      <c r="F125" s="226" t="s">
        <v>772</v>
      </c>
      <c r="G125" s="314">
        <v>1</v>
      </c>
      <c r="H125" s="314">
        <v>1</v>
      </c>
      <c r="I125" s="48"/>
      <c r="J125" s="314">
        <v>1</v>
      </c>
      <c r="K125" s="314">
        <v>1</v>
      </c>
      <c r="L125" s="314">
        <v>1</v>
      </c>
      <c r="M125" s="314">
        <v>1</v>
      </c>
      <c r="N125" s="314">
        <v>1</v>
      </c>
      <c r="O125" s="314">
        <v>1</v>
      </c>
      <c r="P125" s="314">
        <v>1</v>
      </c>
      <c r="Q125" s="314">
        <v>0</v>
      </c>
      <c r="R125" s="314">
        <v>0</v>
      </c>
      <c r="S125" s="314">
        <v>0</v>
      </c>
      <c r="T125" s="314">
        <v>0</v>
      </c>
      <c r="U125" s="314">
        <v>1</v>
      </c>
      <c r="V125" s="314">
        <v>1</v>
      </c>
      <c r="W125" s="315">
        <v>1</v>
      </c>
      <c r="X125" s="315">
        <v>1</v>
      </c>
      <c r="Y125" s="315"/>
      <c r="Z125" s="166">
        <f t="shared" si="4"/>
        <v>13</v>
      </c>
      <c r="AA125" s="102">
        <f t="shared" si="5"/>
        <v>455</v>
      </c>
    </row>
    <row r="126" spans="1:27" ht="15.75" customHeight="1">
      <c r="A126" s="155">
        <v>118</v>
      </c>
      <c r="B126" s="56" t="s">
        <v>277</v>
      </c>
      <c r="C126" s="57" t="s">
        <v>28</v>
      </c>
      <c r="D126" s="68"/>
      <c r="E126" s="68"/>
      <c r="F126" s="224"/>
      <c r="G126" s="314">
        <v>1</v>
      </c>
      <c r="H126" s="314">
        <v>1</v>
      </c>
      <c r="I126" s="48"/>
      <c r="J126" s="314">
        <v>1</v>
      </c>
      <c r="K126" s="314">
        <v>1</v>
      </c>
      <c r="L126" s="314">
        <v>1</v>
      </c>
      <c r="M126" s="314">
        <v>1</v>
      </c>
      <c r="N126" s="314">
        <v>1</v>
      </c>
      <c r="O126" s="314">
        <v>1</v>
      </c>
      <c r="P126" s="314">
        <v>1</v>
      </c>
      <c r="Q126" s="314">
        <v>1</v>
      </c>
      <c r="R126" s="314">
        <v>1</v>
      </c>
      <c r="S126" s="314">
        <v>1</v>
      </c>
      <c r="T126" s="314">
        <v>1</v>
      </c>
      <c r="U126" s="314">
        <v>1</v>
      </c>
      <c r="V126" s="314">
        <v>1</v>
      </c>
      <c r="W126" s="315">
        <v>1</v>
      </c>
      <c r="X126" s="315">
        <v>1</v>
      </c>
      <c r="Y126" s="315"/>
      <c r="Z126" s="166">
        <f t="shared" si="4"/>
        <v>17</v>
      </c>
      <c r="AA126" s="102">
        <f t="shared" si="5"/>
        <v>595</v>
      </c>
    </row>
    <row r="127" spans="1:27" ht="15.75" customHeight="1">
      <c r="A127" s="108">
        <v>119</v>
      </c>
      <c r="B127" s="2" t="s">
        <v>510</v>
      </c>
      <c r="C127" s="50" t="s">
        <v>31</v>
      </c>
      <c r="D127" s="68"/>
      <c r="E127" s="68"/>
      <c r="F127" s="50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88"/>
      <c r="X127" s="288"/>
      <c r="Y127" s="288"/>
      <c r="Z127" s="166">
        <f t="shared" si="4"/>
        <v>0</v>
      </c>
      <c r="AA127" s="102">
        <f t="shared" si="5"/>
        <v>0</v>
      </c>
    </row>
    <row r="128" spans="1:27" ht="15.75" customHeight="1">
      <c r="A128" s="155">
        <v>120</v>
      </c>
      <c r="B128" s="2" t="s">
        <v>483</v>
      </c>
      <c r="C128" s="50" t="s">
        <v>31</v>
      </c>
      <c r="D128" s="68"/>
      <c r="E128" s="68"/>
      <c r="F128" s="50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88"/>
      <c r="X128" s="288"/>
      <c r="Y128" s="288"/>
      <c r="Z128" s="166">
        <f t="shared" si="4"/>
        <v>0</v>
      </c>
      <c r="AA128" s="102">
        <f t="shared" si="5"/>
        <v>0</v>
      </c>
    </row>
    <row r="129" spans="1:27" ht="15.75" customHeight="1">
      <c r="A129" s="108">
        <v>121</v>
      </c>
      <c r="B129" s="2" t="s">
        <v>457</v>
      </c>
      <c r="C129" s="50" t="s">
        <v>31</v>
      </c>
      <c r="D129" s="68"/>
      <c r="E129" s="68"/>
      <c r="F129" s="139" t="s">
        <v>461</v>
      </c>
      <c r="G129" s="314">
        <v>1</v>
      </c>
      <c r="H129" s="314">
        <v>1</v>
      </c>
      <c r="I129" s="314"/>
      <c r="J129" s="314">
        <v>1</v>
      </c>
      <c r="K129" s="314">
        <v>1</v>
      </c>
      <c r="L129" s="314">
        <v>1</v>
      </c>
      <c r="M129" s="314">
        <v>1</v>
      </c>
      <c r="N129" s="314">
        <v>1</v>
      </c>
      <c r="O129" s="314">
        <v>1</v>
      </c>
      <c r="P129" s="314">
        <v>1</v>
      </c>
      <c r="Q129" s="314">
        <v>1</v>
      </c>
      <c r="R129" s="314">
        <v>1</v>
      </c>
      <c r="S129" s="314">
        <v>1</v>
      </c>
      <c r="T129" s="314">
        <v>1</v>
      </c>
      <c r="U129" s="314">
        <v>1</v>
      </c>
      <c r="V129" s="314">
        <v>1</v>
      </c>
      <c r="W129" s="315">
        <v>1</v>
      </c>
      <c r="X129" s="315">
        <v>1</v>
      </c>
      <c r="Y129" s="315"/>
      <c r="Z129" s="166">
        <f t="shared" si="4"/>
        <v>17</v>
      </c>
      <c r="AA129" s="102">
        <f t="shared" si="5"/>
        <v>595</v>
      </c>
    </row>
    <row r="130" spans="1:27" ht="15" customHeight="1">
      <c r="A130" s="155">
        <v>122</v>
      </c>
      <c r="B130" s="2" t="s">
        <v>547</v>
      </c>
      <c r="C130" s="50" t="s">
        <v>28</v>
      </c>
      <c r="D130" s="68"/>
      <c r="E130" s="68"/>
      <c r="F130" s="225"/>
      <c r="G130" s="314">
        <v>1</v>
      </c>
      <c r="H130" s="314">
        <v>1</v>
      </c>
      <c r="I130" s="48"/>
      <c r="J130" s="314">
        <v>1</v>
      </c>
      <c r="K130" s="314">
        <v>1</v>
      </c>
      <c r="L130" s="314">
        <v>1</v>
      </c>
      <c r="M130" s="314">
        <v>1</v>
      </c>
      <c r="N130" s="314">
        <v>1</v>
      </c>
      <c r="O130" s="314">
        <v>1</v>
      </c>
      <c r="P130" s="314">
        <v>1</v>
      </c>
      <c r="Q130" s="314">
        <v>1</v>
      </c>
      <c r="R130" s="314">
        <v>1</v>
      </c>
      <c r="S130" s="314">
        <v>1</v>
      </c>
      <c r="T130" s="314">
        <v>1</v>
      </c>
      <c r="U130" s="314">
        <v>1</v>
      </c>
      <c r="V130" s="48"/>
      <c r="W130" s="369"/>
      <c r="X130" s="369"/>
      <c r="Y130" s="369"/>
      <c r="Z130" s="166">
        <f t="shared" si="4"/>
        <v>14</v>
      </c>
      <c r="AA130" s="102">
        <f t="shared" si="5"/>
        <v>490</v>
      </c>
    </row>
    <row r="131" spans="1:27" ht="15" customHeight="1">
      <c r="A131" s="108">
        <v>123</v>
      </c>
      <c r="B131" s="2" t="s">
        <v>712</v>
      </c>
      <c r="C131" s="50" t="s">
        <v>28</v>
      </c>
      <c r="D131" s="68"/>
      <c r="E131" s="68"/>
      <c r="F131" s="225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88"/>
      <c r="X131" s="288"/>
      <c r="Y131" s="288"/>
      <c r="Z131" s="166">
        <f t="shared" si="4"/>
        <v>0</v>
      </c>
      <c r="AA131" s="102">
        <f t="shared" si="5"/>
        <v>0</v>
      </c>
    </row>
    <row r="132" spans="1:27" ht="15.75" customHeight="1">
      <c r="A132" s="155">
        <v>124</v>
      </c>
      <c r="B132" s="56" t="s">
        <v>72</v>
      </c>
      <c r="C132" s="57" t="s">
        <v>30</v>
      </c>
      <c r="D132" s="68"/>
      <c r="E132" s="68"/>
      <c r="F132" s="50"/>
      <c r="G132" s="314">
        <v>1</v>
      </c>
      <c r="H132" s="314">
        <v>1</v>
      </c>
      <c r="I132" s="262"/>
      <c r="J132" s="314">
        <v>1</v>
      </c>
      <c r="K132" s="262"/>
      <c r="L132" s="262"/>
      <c r="M132" s="262"/>
      <c r="N132" s="262"/>
      <c r="O132" s="314">
        <v>1</v>
      </c>
      <c r="P132" s="262"/>
      <c r="Q132" s="262"/>
      <c r="R132" s="262"/>
      <c r="S132" s="262"/>
      <c r="T132" s="262"/>
      <c r="U132" s="262"/>
      <c r="V132" s="262"/>
      <c r="W132" s="288"/>
      <c r="X132" s="288"/>
      <c r="Y132" s="288"/>
      <c r="Z132" s="166">
        <f t="shared" si="4"/>
        <v>4</v>
      </c>
      <c r="AA132" s="102">
        <f t="shared" si="5"/>
        <v>140</v>
      </c>
    </row>
    <row r="133" spans="1:27" ht="15.75" customHeight="1">
      <c r="A133" s="108">
        <v>125</v>
      </c>
      <c r="B133" s="56" t="s">
        <v>534</v>
      </c>
      <c r="C133" s="57" t="s">
        <v>28</v>
      </c>
      <c r="D133" s="68"/>
      <c r="E133" s="68"/>
      <c r="F133" s="139" t="s">
        <v>461</v>
      </c>
      <c r="G133" s="314">
        <v>1</v>
      </c>
      <c r="H133" s="314">
        <v>1</v>
      </c>
      <c r="I133" s="48"/>
      <c r="J133" s="314">
        <v>1</v>
      </c>
      <c r="K133" s="314">
        <v>1</v>
      </c>
      <c r="L133" s="314">
        <v>1</v>
      </c>
      <c r="M133" s="314">
        <v>1</v>
      </c>
      <c r="N133" s="314">
        <v>1</v>
      </c>
      <c r="O133" s="262"/>
      <c r="P133" s="314">
        <v>1</v>
      </c>
      <c r="Q133" s="262"/>
      <c r="R133" s="262"/>
      <c r="S133" s="262"/>
      <c r="T133" s="262"/>
      <c r="U133" s="314">
        <v>1</v>
      </c>
      <c r="V133" s="314">
        <v>1</v>
      </c>
      <c r="W133" s="315">
        <v>1</v>
      </c>
      <c r="X133" s="315">
        <v>1</v>
      </c>
      <c r="Y133" s="288"/>
      <c r="Z133" s="166">
        <f t="shared" si="4"/>
        <v>12</v>
      </c>
      <c r="AA133" s="102">
        <f t="shared" si="5"/>
        <v>420</v>
      </c>
    </row>
    <row r="134" spans="1:27" ht="15.75" customHeight="1">
      <c r="A134" s="155">
        <v>126</v>
      </c>
      <c r="B134" s="56" t="s">
        <v>420</v>
      </c>
      <c r="C134" s="57" t="s">
        <v>28</v>
      </c>
      <c r="D134" s="68"/>
      <c r="E134" s="68"/>
      <c r="F134" s="50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88"/>
      <c r="X134" s="288"/>
      <c r="Y134" s="288"/>
      <c r="Z134" s="166">
        <f t="shared" si="4"/>
        <v>0</v>
      </c>
      <c r="AA134" s="102">
        <f t="shared" si="5"/>
        <v>0</v>
      </c>
    </row>
    <row r="135" spans="1:27" ht="15.75" customHeight="1">
      <c r="A135" s="108">
        <v>127</v>
      </c>
      <c r="B135" s="56" t="s">
        <v>201</v>
      </c>
      <c r="C135" s="57" t="s">
        <v>31</v>
      </c>
      <c r="D135" s="68"/>
      <c r="E135" s="68"/>
      <c r="F135" s="50"/>
      <c r="G135" s="314">
        <v>1</v>
      </c>
      <c r="H135" s="262"/>
      <c r="I135" s="262"/>
      <c r="J135" s="262"/>
      <c r="K135" s="316">
        <v>1</v>
      </c>
      <c r="L135" s="262"/>
      <c r="M135" s="262"/>
      <c r="N135" s="262"/>
      <c r="O135" s="316">
        <v>1</v>
      </c>
      <c r="P135" s="262"/>
      <c r="Q135" s="262"/>
      <c r="R135" s="262"/>
      <c r="S135" s="262"/>
      <c r="T135" s="262"/>
      <c r="U135" s="262"/>
      <c r="V135" s="262"/>
      <c r="W135" s="288"/>
      <c r="X135" s="288"/>
      <c r="Y135" s="288"/>
      <c r="Z135" s="166">
        <f t="shared" si="4"/>
        <v>3</v>
      </c>
      <c r="AA135" s="102">
        <f t="shared" si="5"/>
        <v>105</v>
      </c>
    </row>
    <row r="136" spans="1:27" ht="15.75" customHeight="1">
      <c r="A136" s="155">
        <v>128</v>
      </c>
      <c r="B136" s="56" t="s">
        <v>458</v>
      </c>
      <c r="C136" s="57" t="s">
        <v>30</v>
      </c>
      <c r="D136" s="68"/>
      <c r="E136" s="68"/>
      <c r="F136" s="50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88"/>
      <c r="X136" s="288"/>
      <c r="Y136" s="288"/>
      <c r="Z136" s="166">
        <f t="shared" si="4"/>
        <v>0</v>
      </c>
      <c r="AA136" s="102">
        <f t="shared" si="5"/>
        <v>0</v>
      </c>
    </row>
    <row r="137" spans="1:27" ht="15.75" customHeight="1">
      <c r="A137" s="108">
        <v>129</v>
      </c>
      <c r="B137" s="56" t="s">
        <v>195</v>
      </c>
      <c r="C137" s="57" t="s">
        <v>30</v>
      </c>
      <c r="D137" s="68"/>
      <c r="E137" s="68"/>
      <c r="F137" s="139" t="s">
        <v>461</v>
      </c>
      <c r="G137" s="314">
        <v>1</v>
      </c>
      <c r="H137" s="314">
        <v>1</v>
      </c>
      <c r="I137" s="48"/>
      <c r="J137" s="314">
        <v>1</v>
      </c>
      <c r="K137" s="314">
        <v>1</v>
      </c>
      <c r="L137" s="314">
        <v>1</v>
      </c>
      <c r="M137" s="314">
        <v>1</v>
      </c>
      <c r="N137" s="314">
        <v>1</v>
      </c>
      <c r="O137" s="314">
        <v>1</v>
      </c>
      <c r="P137" s="314">
        <v>1</v>
      </c>
      <c r="Q137" s="314">
        <v>1</v>
      </c>
      <c r="R137" s="316">
        <v>1</v>
      </c>
      <c r="S137" s="316">
        <v>1</v>
      </c>
      <c r="T137" s="316">
        <v>1</v>
      </c>
      <c r="U137" s="316">
        <v>1</v>
      </c>
      <c r="V137" s="316">
        <v>1</v>
      </c>
      <c r="W137" s="323">
        <v>1</v>
      </c>
      <c r="X137" s="323">
        <v>1</v>
      </c>
      <c r="Y137" s="323"/>
      <c r="Z137" s="166">
        <f t="shared" si="4"/>
        <v>17</v>
      </c>
      <c r="AA137" s="102">
        <f t="shared" si="5"/>
        <v>595</v>
      </c>
    </row>
    <row r="138" spans="1:27" ht="15.75" customHeight="1">
      <c r="A138" s="155">
        <v>130</v>
      </c>
      <c r="B138" s="56" t="s">
        <v>495</v>
      </c>
      <c r="C138" s="57" t="s">
        <v>30</v>
      </c>
      <c r="D138" s="68"/>
      <c r="E138" s="68"/>
      <c r="F138" s="50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88"/>
      <c r="X138" s="288"/>
      <c r="Y138" s="288"/>
      <c r="Z138" s="166">
        <f t="shared" si="4"/>
        <v>0</v>
      </c>
      <c r="AA138" s="102">
        <f t="shared" si="5"/>
        <v>0</v>
      </c>
    </row>
    <row r="139" spans="1:27" ht="15.75" customHeight="1">
      <c r="A139" s="108">
        <v>131</v>
      </c>
      <c r="B139" s="56" t="s">
        <v>234</v>
      </c>
      <c r="C139" s="57" t="s">
        <v>31</v>
      </c>
      <c r="D139" s="68"/>
      <c r="E139" s="68"/>
      <c r="F139" s="50"/>
      <c r="G139" s="262"/>
      <c r="H139" s="262"/>
      <c r="I139" s="262"/>
      <c r="J139" s="262"/>
      <c r="K139" s="262"/>
      <c r="L139" s="262"/>
      <c r="M139" s="316">
        <v>1</v>
      </c>
      <c r="N139" s="262"/>
      <c r="O139" s="262"/>
      <c r="P139" s="262"/>
      <c r="Q139" s="262"/>
      <c r="R139" s="262"/>
      <c r="S139" s="262"/>
      <c r="T139" s="262"/>
      <c r="U139" s="316">
        <v>1</v>
      </c>
      <c r="V139" s="262"/>
      <c r="W139" s="323">
        <v>1</v>
      </c>
      <c r="X139" s="288"/>
      <c r="Y139" s="288"/>
      <c r="Z139" s="166">
        <f t="shared" ref="Z139:Z155" si="6">+SUM(G139:Y139)</f>
        <v>3</v>
      </c>
      <c r="AA139" s="102">
        <f t="shared" ref="AA139:AA155" si="7">+Z139*35</f>
        <v>105</v>
      </c>
    </row>
    <row r="140" spans="1:27" ht="15.75" customHeight="1">
      <c r="A140" s="155">
        <v>132</v>
      </c>
      <c r="B140" s="56" t="s">
        <v>583</v>
      </c>
      <c r="C140" s="57" t="s">
        <v>509</v>
      </c>
      <c r="D140" s="68"/>
      <c r="E140" s="68"/>
      <c r="F140" s="50"/>
      <c r="G140" s="314">
        <v>1</v>
      </c>
      <c r="H140" s="314">
        <v>1</v>
      </c>
      <c r="I140" s="48"/>
      <c r="J140" s="314">
        <v>1</v>
      </c>
      <c r="K140" s="314">
        <v>1</v>
      </c>
      <c r="L140" s="314">
        <v>1</v>
      </c>
      <c r="M140" s="314">
        <v>1</v>
      </c>
      <c r="N140" s="314">
        <v>1</v>
      </c>
      <c r="O140" s="314">
        <v>1</v>
      </c>
      <c r="P140" s="314">
        <v>1</v>
      </c>
      <c r="Q140" s="316">
        <v>1</v>
      </c>
      <c r="R140" s="316">
        <v>1</v>
      </c>
      <c r="S140" s="316">
        <v>1</v>
      </c>
      <c r="T140" s="316">
        <v>1</v>
      </c>
      <c r="U140" s="316">
        <v>1</v>
      </c>
      <c r="V140" s="316">
        <v>1</v>
      </c>
      <c r="W140" s="323">
        <v>1</v>
      </c>
      <c r="X140" s="323">
        <v>1</v>
      </c>
      <c r="Y140" s="323"/>
      <c r="Z140" s="166">
        <f>+SUM(G140:Y140)</f>
        <v>17</v>
      </c>
      <c r="AA140" s="102">
        <f t="shared" si="7"/>
        <v>595</v>
      </c>
    </row>
    <row r="141" spans="1:27" ht="15.75" customHeight="1">
      <c r="A141" s="108">
        <v>133</v>
      </c>
      <c r="B141" s="56" t="s">
        <v>459</v>
      </c>
      <c r="C141" s="57" t="s">
        <v>31</v>
      </c>
      <c r="D141" s="79"/>
      <c r="E141" s="79"/>
      <c r="F141" s="9"/>
      <c r="G141" s="314">
        <v>1</v>
      </c>
      <c r="H141" s="262"/>
      <c r="I141" s="262"/>
      <c r="J141" s="262"/>
      <c r="K141" s="262"/>
      <c r="L141" s="262"/>
      <c r="M141" s="262"/>
      <c r="N141" s="262"/>
      <c r="O141" s="314">
        <v>1</v>
      </c>
      <c r="P141" s="262"/>
      <c r="Q141" s="262"/>
      <c r="R141" s="262"/>
      <c r="S141" s="262"/>
      <c r="T141" s="262"/>
      <c r="U141" s="262"/>
      <c r="V141" s="262"/>
      <c r="W141" s="288"/>
      <c r="X141" s="323">
        <v>1</v>
      </c>
      <c r="Y141" s="288"/>
      <c r="Z141" s="166">
        <f t="shared" si="6"/>
        <v>3</v>
      </c>
      <c r="AA141" s="102">
        <f t="shared" si="7"/>
        <v>105</v>
      </c>
    </row>
    <row r="142" spans="1:27" ht="15.75" customHeight="1">
      <c r="A142" s="155">
        <v>134</v>
      </c>
      <c r="B142" s="56" t="s">
        <v>460</v>
      </c>
      <c r="C142" s="57" t="s">
        <v>31</v>
      </c>
      <c r="D142" s="68"/>
      <c r="E142" s="68"/>
      <c r="F142" s="57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88"/>
      <c r="X142" s="288"/>
      <c r="Y142" s="288"/>
      <c r="Z142" s="166">
        <f t="shared" si="6"/>
        <v>0</v>
      </c>
      <c r="AA142" s="102">
        <f t="shared" si="7"/>
        <v>0</v>
      </c>
    </row>
    <row r="143" spans="1:27" ht="15.75" customHeight="1">
      <c r="A143" s="108">
        <v>135</v>
      </c>
      <c r="B143" s="56" t="s">
        <v>251</v>
      </c>
      <c r="C143" s="57" t="s">
        <v>30</v>
      </c>
      <c r="D143" s="68"/>
      <c r="E143" s="68"/>
      <c r="F143" s="48"/>
      <c r="G143" s="314">
        <v>1</v>
      </c>
      <c r="H143" s="262"/>
      <c r="I143" s="262"/>
      <c r="J143" s="262"/>
      <c r="K143" s="262"/>
      <c r="L143" s="262"/>
      <c r="M143" s="262"/>
      <c r="N143" s="316">
        <v>1</v>
      </c>
      <c r="O143" s="316">
        <v>1</v>
      </c>
      <c r="P143" s="262"/>
      <c r="Q143" s="262"/>
      <c r="R143" s="262"/>
      <c r="S143" s="262"/>
      <c r="T143" s="262"/>
      <c r="U143" s="262"/>
      <c r="V143" s="262"/>
      <c r="W143" s="288"/>
      <c r="X143" s="288"/>
      <c r="Y143" s="288"/>
      <c r="Z143" s="166">
        <f t="shared" si="6"/>
        <v>3</v>
      </c>
      <c r="AA143" s="102">
        <f t="shared" si="7"/>
        <v>105</v>
      </c>
    </row>
    <row r="144" spans="1:27" ht="15.75" customHeight="1">
      <c r="A144" s="155">
        <v>136</v>
      </c>
      <c r="B144" s="56" t="s">
        <v>508</v>
      </c>
      <c r="C144" s="57" t="s">
        <v>509</v>
      </c>
      <c r="D144" s="68"/>
      <c r="E144" s="68"/>
      <c r="F144" s="48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88"/>
      <c r="X144" s="288"/>
      <c r="Y144" s="288"/>
      <c r="Z144" s="166">
        <f t="shared" si="6"/>
        <v>0</v>
      </c>
      <c r="AA144" s="102">
        <f t="shared" si="7"/>
        <v>0</v>
      </c>
    </row>
    <row r="145" spans="1:28" ht="15.75" customHeight="1">
      <c r="A145" s="108">
        <v>137</v>
      </c>
      <c r="B145" s="56"/>
      <c r="C145" s="57"/>
      <c r="D145" s="68"/>
      <c r="E145" s="68"/>
      <c r="F145" s="48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88"/>
      <c r="X145" s="288"/>
      <c r="Y145" s="288"/>
      <c r="Z145" s="166">
        <f t="shared" si="6"/>
        <v>0</v>
      </c>
      <c r="AA145" s="102">
        <f t="shared" si="7"/>
        <v>0</v>
      </c>
    </row>
    <row r="146" spans="1:28" ht="15.75" customHeight="1">
      <c r="A146" s="155">
        <v>138</v>
      </c>
      <c r="B146" s="56"/>
      <c r="C146" s="57"/>
      <c r="D146" s="68"/>
      <c r="E146" s="68"/>
      <c r="F146" s="48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88"/>
      <c r="X146" s="288"/>
      <c r="Y146" s="288"/>
      <c r="Z146" s="166">
        <f t="shared" si="6"/>
        <v>0</v>
      </c>
      <c r="AA146" s="102">
        <f t="shared" si="7"/>
        <v>0</v>
      </c>
    </row>
    <row r="147" spans="1:28" ht="15.75" customHeight="1">
      <c r="A147" s="108">
        <v>139</v>
      </c>
      <c r="B147" s="56"/>
      <c r="C147" s="57"/>
      <c r="D147" s="68"/>
      <c r="E147" s="68"/>
      <c r="F147" s="48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88"/>
      <c r="X147" s="288"/>
      <c r="Y147" s="288"/>
      <c r="Z147" s="166">
        <f t="shared" si="6"/>
        <v>0</v>
      </c>
      <c r="AA147" s="102">
        <f t="shared" si="7"/>
        <v>0</v>
      </c>
    </row>
    <row r="148" spans="1:28" ht="15.75" customHeight="1">
      <c r="A148" s="155">
        <v>140</v>
      </c>
      <c r="B148" s="56"/>
      <c r="C148" s="57"/>
      <c r="D148" s="68"/>
      <c r="E148" s="68"/>
      <c r="F148" s="48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88"/>
      <c r="X148" s="288"/>
      <c r="Y148" s="288"/>
      <c r="Z148" s="166">
        <f t="shared" si="6"/>
        <v>0</v>
      </c>
      <c r="AA148" s="102">
        <f t="shared" si="7"/>
        <v>0</v>
      </c>
    </row>
    <row r="149" spans="1:28" ht="15.75" customHeight="1">
      <c r="A149" s="108">
        <v>141</v>
      </c>
      <c r="B149" s="55"/>
      <c r="C149" s="55"/>
      <c r="D149" s="82"/>
      <c r="E149" s="82"/>
      <c r="F149" s="55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88"/>
      <c r="X149" s="288"/>
      <c r="Y149" s="288"/>
      <c r="Z149" s="166">
        <f t="shared" si="6"/>
        <v>0</v>
      </c>
      <c r="AA149" s="102">
        <f t="shared" si="7"/>
        <v>0</v>
      </c>
    </row>
    <row r="150" spans="1:28" ht="15.75" customHeight="1">
      <c r="A150" s="155">
        <v>142</v>
      </c>
      <c r="B150" s="55"/>
      <c r="C150" s="55"/>
      <c r="D150" s="82"/>
      <c r="E150" s="82"/>
      <c r="F150" s="55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88"/>
      <c r="X150" s="288"/>
      <c r="Y150" s="288"/>
      <c r="Z150" s="166">
        <f t="shared" si="6"/>
        <v>0</v>
      </c>
      <c r="AA150" s="102">
        <f t="shared" si="7"/>
        <v>0</v>
      </c>
    </row>
    <row r="151" spans="1:28" ht="15.75" customHeight="1">
      <c r="A151" s="108">
        <v>143</v>
      </c>
      <c r="B151" s="55"/>
      <c r="C151" s="55"/>
      <c r="D151" s="82"/>
      <c r="E151" s="82"/>
      <c r="F151" s="55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306"/>
      <c r="X151" s="306"/>
      <c r="Y151" s="306"/>
      <c r="Z151" s="166">
        <f t="shared" si="6"/>
        <v>0</v>
      </c>
      <c r="AA151" s="102">
        <f t="shared" si="7"/>
        <v>0</v>
      </c>
    </row>
    <row r="152" spans="1:28" ht="15.75" customHeight="1">
      <c r="A152" s="155">
        <v>144</v>
      </c>
      <c r="B152" s="55"/>
      <c r="C152" s="55"/>
      <c r="D152" s="82"/>
      <c r="E152" s="82"/>
      <c r="F152" s="55"/>
      <c r="G152" s="11"/>
      <c r="H152" s="11"/>
      <c r="I152" s="11"/>
      <c r="J152" s="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306"/>
      <c r="X152" s="306"/>
      <c r="Y152" s="306"/>
      <c r="Z152" s="166">
        <f t="shared" si="6"/>
        <v>0</v>
      </c>
      <c r="AA152" s="102">
        <f t="shared" si="7"/>
        <v>0</v>
      </c>
    </row>
    <row r="153" spans="1:28" ht="15.75" customHeight="1">
      <c r="A153" s="108">
        <v>145</v>
      </c>
      <c r="B153" s="55"/>
      <c r="C153" s="55"/>
      <c r="D153" s="82"/>
      <c r="E153" s="82"/>
      <c r="F153" s="55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306"/>
      <c r="X153" s="306"/>
      <c r="Y153" s="306"/>
      <c r="Z153" s="166">
        <f t="shared" si="6"/>
        <v>0</v>
      </c>
      <c r="AA153" s="102">
        <f t="shared" si="7"/>
        <v>0</v>
      </c>
    </row>
    <row r="154" spans="1:28" ht="15.75" customHeight="1">
      <c r="A154" s="155">
        <v>146</v>
      </c>
      <c r="B154" s="55"/>
      <c r="C154" s="55"/>
      <c r="D154" s="82"/>
      <c r="E154" s="82"/>
      <c r="F154" s="55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306"/>
      <c r="X154" s="306"/>
      <c r="Y154" s="306"/>
      <c r="Z154" s="166">
        <f t="shared" si="6"/>
        <v>0</v>
      </c>
      <c r="AA154" s="102">
        <f t="shared" si="7"/>
        <v>0</v>
      </c>
    </row>
    <row r="155" spans="1:28" ht="15.75" customHeight="1">
      <c r="A155" s="108">
        <v>147</v>
      </c>
      <c r="B155" s="55"/>
      <c r="C155" s="55"/>
      <c r="D155" s="82"/>
      <c r="E155" s="82"/>
      <c r="F155" s="55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306"/>
      <c r="X155" s="306"/>
      <c r="Y155" s="306"/>
      <c r="Z155" s="166">
        <f t="shared" si="6"/>
        <v>0</v>
      </c>
      <c r="AA155" s="102">
        <f t="shared" si="7"/>
        <v>0</v>
      </c>
    </row>
    <row r="156" spans="1:28" ht="15.75" customHeight="1" thickBot="1">
      <c r="A156" s="170"/>
      <c r="C156" s="16"/>
      <c r="D156" s="15"/>
      <c r="E156" s="15"/>
      <c r="F156" s="26"/>
      <c r="G156" s="27">
        <f t="shared" ref="G156:Y156" si="8">SUM(G9:G155)</f>
        <v>60</v>
      </c>
      <c r="H156" s="27">
        <f t="shared" si="8"/>
        <v>54</v>
      </c>
      <c r="I156" s="27">
        <f t="shared" si="8"/>
        <v>0</v>
      </c>
      <c r="J156" s="27">
        <f t="shared" si="8"/>
        <v>56</v>
      </c>
      <c r="K156" s="27">
        <f t="shared" si="8"/>
        <v>52</v>
      </c>
      <c r="L156" s="27">
        <f t="shared" si="8"/>
        <v>50</v>
      </c>
      <c r="M156" s="27">
        <f t="shared" si="8"/>
        <v>52</v>
      </c>
      <c r="N156" s="27">
        <f t="shared" si="8"/>
        <v>53</v>
      </c>
      <c r="O156" s="27">
        <f t="shared" si="8"/>
        <v>54</v>
      </c>
      <c r="P156" s="27">
        <f t="shared" si="8"/>
        <v>48</v>
      </c>
      <c r="Q156" s="27">
        <f t="shared" si="8"/>
        <v>48</v>
      </c>
      <c r="R156" s="27">
        <f t="shared" si="8"/>
        <v>47</v>
      </c>
      <c r="S156" s="27">
        <f t="shared" si="8"/>
        <v>47</v>
      </c>
      <c r="T156" s="27">
        <f t="shared" si="8"/>
        <v>46</v>
      </c>
      <c r="U156" s="27">
        <f t="shared" si="8"/>
        <v>49</v>
      </c>
      <c r="V156" s="27">
        <f t="shared" si="8"/>
        <v>52</v>
      </c>
      <c r="W156" s="27">
        <f t="shared" si="8"/>
        <v>48</v>
      </c>
      <c r="X156" s="27">
        <f t="shared" si="8"/>
        <v>49</v>
      </c>
      <c r="Y156" s="27">
        <f t="shared" si="8"/>
        <v>0</v>
      </c>
      <c r="Z156" s="474"/>
      <c r="AA156" s="442"/>
    </row>
    <row r="157" spans="1:28" ht="15.75" customHeight="1" thickBot="1">
      <c r="A157" s="25"/>
      <c r="C157" s="21"/>
      <c r="D157" s="22"/>
      <c r="E157" s="22"/>
      <c r="F157" s="16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Z157" s="255">
        <f>+SUM(Z9:Z155)</f>
        <v>855</v>
      </c>
      <c r="AA157" s="299"/>
      <c r="AB157" s="295"/>
    </row>
    <row r="158" spans="1:28" ht="15.75" customHeight="1" thickBot="1">
      <c r="F158" s="295"/>
      <c r="G158" s="429"/>
      <c r="H158" s="430"/>
      <c r="I158" s="430"/>
      <c r="J158" s="430"/>
      <c r="K158" s="430"/>
      <c r="L158" s="430"/>
      <c r="M158" s="430"/>
      <c r="N158" s="430"/>
      <c r="O158" s="430"/>
      <c r="P158" s="430"/>
      <c r="Q158" s="430"/>
      <c r="R158" s="430"/>
      <c r="S158" s="430"/>
      <c r="T158" s="430"/>
      <c r="U158" s="430"/>
      <c r="V158" s="430"/>
      <c r="W158" s="430"/>
      <c r="X158" s="430"/>
      <c r="Y158" s="430"/>
      <c r="Z158" s="431"/>
      <c r="AA158" s="292">
        <f>+SUM(AA9:AA155)</f>
        <v>29925</v>
      </c>
    </row>
    <row r="159" spans="1:28" ht="15.75" customHeight="1">
      <c r="G159" s="295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</row>
    <row r="160" spans="1:28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</sheetData>
  <sortState ref="B15:V155">
    <sortCondition ref="B15:B155"/>
  </sortState>
  <mergeCells count="13">
    <mergeCell ref="G158:Z158"/>
    <mergeCell ref="AA5:AA8"/>
    <mergeCell ref="Z156:AA156"/>
    <mergeCell ref="G157:V157"/>
    <mergeCell ref="A1:AA4"/>
    <mergeCell ref="A5:A8"/>
    <mergeCell ref="B5:B8"/>
    <mergeCell ref="C5:C8"/>
    <mergeCell ref="D5:D8"/>
    <mergeCell ref="E5:E8"/>
    <mergeCell ref="F5:F8"/>
    <mergeCell ref="Z5:Z8"/>
    <mergeCell ref="G5:Y5"/>
  </mergeCells>
  <pageMargins left="0.7" right="0.7" top="0.75" bottom="0.75" header="0" footer="0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M11" sqref="M11"/>
    </sheetView>
  </sheetViews>
  <sheetFormatPr baseColWidth="10" defaultColWidth="14.5" defaultRowHeight="15" customHeight="1"/>
  <cols>
    <col min="1" max="1" width="10.6640625" customWidth="1"/>
    <col min="2" max="2" width="8.1640625" customWidth="1"/>
    <col min="3" max="7" width="7.33203125" customWidth="1"/>
    <col min="8" max="10" width="13" customWidth="1"/>
  </cols>
  <sheetData>
    <row r="1" spans="1:10" ht="15" customHeight="1">
      <c r="A1" s="477"/>
      <c r="B1" s="436"/>
      <c r="C1" s="478"/>
      <c r="D1" s="487" t="s">
        <v>724</v>
      </c>
      <c r="E1" s="488"/>
      <c r="F1" s="488"/>
      <c r="G1" s="488"/>
      <c r="H1" s="488"/>
      <c r="I1" s="488"/>
      <c r="J1" s="489"/>
    </row>
    <row r="2" spans="1:10">
      <c r="A2" s="438"/>
      <c r="B2" s="439"/>
      <c r="C2" s="479"/>
      <c r="D2" s="487"/>
      <c r="E2" s="488"/>
      <c r="F2" s="488"/>
      <c r="G2" s="488"/>
      <c r="H2" s="488"/>
      <c r="I2" s="488"/>
      <c r="J2" s="489"/>
    </row>
    <row r="3" spans="1:10">
      <c r="A3" s="438"/>
      <c r="B3" s="439"/>
      <c r="C3" s="479"/>
      <c r="D3" s="487"/>
      <c r="E3" s="488"/>
      <c r="F3" s="488"/>
      <c r="G3" s="488"/>
      <c r="H3" s="488"/>
      <c r="I3" s="488"/>
      <c r="J3" s="489"/>
    </row>
    <row r="4" spans="1:10" ht="27" customHeight="1">
      <c r="A4" s="440"/>
      <c r="B4" s="441"/>
      <c r="C4" s="480"/>
      <c r="D4" s="490"/>
      <c r="E4" s="491"/>
      <c r="F4" s="491"/>
      <c r="G4" s="491"/>
      <c r="H4" s="491"/>
      <c r="I4" s="491"/>
      <c r="J4" s="492"/>
    </row>
    <row r="5" spans="1:10" ht="21.75" customHeight="1">
      <c r="A5" s="481" t="s">
        <v>32</v>
      </c>
      <c r="B5" s="479"/>
      <c r="C5" s="483">
        <v>46223</v>
      </c>
      <c r="D5" s="483">
        <v>46224</v>
      </c>
      <c r="E5" s="483">
        <v>46225</v>
      </c>
      <c r="F5" s="483">
        <v>46226</v>
      </c>
      <c r="G5" s="483">
        <v>46227</v>
      </c>
      <c r="H5" s="484" t="s">
        <v>33</v>
      </c>
      <c r="I5" s="484" t="s">
        <v>44</v>
      </c>
      <c r="J5" s="485" t="s">
        <v>45</v>
      </c>
    </row>
    <row r="6" spans="1:10" ht="21.75" customHeight="1">
      <c r="A6" s="482"/>
      <c r="B6" s="480"/>
      <c r="C6" s="434"/>
      <c r="D6" s="434"/>
      <c r="E6" s="434"/>
      <c r="F6" s="434"/>
      <c r="G6" s="434"/>
      <c r="H6" s="434"/>
      <c r="I6" s="434"/>
      <c r="J6" s="486"/>
    </row>
    <row r="7" spans="1:10" ht="22.5" customHeight="1">
      <c r="A7" s="28" t="s">
        <v>36</v>
      </c>
      <c r="B7" s="29">
        <v>0.49305555555555558</v>
      </c>
      <c r="C7" s="30" t="e">
        <f>+'11;50'!#REF!</f>
        <v>#REF!</v>
      </c>
      <c r="D7" s="30" t="e">
        <f>+'11;50'!#REF!</f>
        <v>#REF!</v>
      </c>
      <c r="E7" s="30" t="e">
        <f>+'11;50'!#REF!</f>
        <v>#REF!</v>
      </c>
      <c r="F7" s="30" t="e">
        <f>+'11;50'!#REF!</f>
        <v>#REF!</v>
      </c>
      <c r="G7" s="30" t="e">
        <f>+'11;50'!#REF!</f>
        <v>#REF!</v>
      </c>
      <c r="H7" s="30" t="e">
        <f>SUM(C7:G7)</f>
        <v>#REF!</v>
      </c>
      <c r="I7" s="31">
        <v>32</v>
      </c>
      <c r="J7" s="32" t="s">
        <v>702</v>
      </c>
    </row>
    <row r="8" spans="1:10" ht="22.5" customHeight="1">
      <c r="A8" s="28" t="s">
        <v>37</v>
      </c>
      <c r="B8" s="29">
        <v>0.5</v>
      </c>
      <c r="C8" s="30" t="e">
        <f>+'12;00'!#REF!</f>
        <v>#REF!</v>
      </c>
      <c r="D8" s="30" t="e">
        <f>+'12;00'!#REF!</f>
        <v>#REF!</v>
      </c>
      <c r="E8" s="30" t="e">
        <f>+'12;00'!#REF!</f>
        <v>#REF!</v>
      </c>
      <c r="F8" s="30" t="e">
        <f>+'12;00'!#REF!</f>
        <v>#REF!</v>
      </c>
      <c r="G8" s="30" t="e">
        <f>+'12;00'!#REF!</f>
        <v>#REF!</v>
      </c>
      <c r="H8" s="30" t="e">
        <f t="shared" ref="H8:H11" si="0">SUM(C8:G8)</f>
        <v>#REF!</v>
      </c>
      <c r="I8" s="31">
        <v>32</v>
      </c>
      <c r="J8" s="32" t="e">
        <f>+H8*I8</f>
        <v>#REF!</v>
      </c>
    </row>
    <row r="9" spans="1:10" ht="22.5" customHeight="1">
      <c r="A9" s="28" t="s">
        <v>38</v>
      </c>
      <c r="B9" s="29">
        <v>0.47569444444444442</v>
      </c>
      <c r="C9" s="30" t="e">
        <f>+'11;25'!#REF!</f>
        <v>#REF!</v>
      </c>
      <c r="D9" s="30" t="e">
        <f>+'11;25'!#REF!</f>
        <v>#REF!</v>
      </c>
      <c r="E9" s="30" t="e">
        <f>+'11;25'!#REF!</f>
        <v>#REF!</v>
      </c>
      <c r="F9" s="30" t="e">
        <f>+'11;25'!#REF!</f>
        <v>#REF!</v>
      </c>
      <c r="G9" s="30" t="e">
        <f>+'11;25'!#REF!</f>
        <v>#REF!</v>
      </c>
      <c r="H9" s="30" t="e">
        <f t="shared" si="0"/>
        <v>#REF!</v>
      </c>
      <c r="I9" s="31">
        <v>32</v>
      </c>
      <c r="J9" s="32" t="e">
        <f>+H9*I9</f>
        <v>#REF!</v>
      </c>
    </row>
    <row r="10" spans="1:10" ht="22.5" customHeight="1">
      <c r="A10" s="28" t="s">
        <v>39</v>
      </c>
      <c r="B10" s="29">
        <v>0.52777777777777779</v>
      </c>
      <c r="C10" s="30" t="e">
        <f>+'12;40'!#REF!</f>
        <v>#REF!</v>
      </c>
      <c r="D10" s="30" t="e">
        <f>+'12;40'!#REF!</f>
        <v>#REF!</v>
      </c>
      <c r="E10" s="30" t="e">
        <f>+'12;40'!#REF!</f>
        <v>#REF!</v>
      </c>
      <c r="F10" s="30" t="e">
        <f>+'12;40'!#REF!</f>
        <v>#REF!</v>
      </c>
      <c r="G10" s="30" t="e">
        <f>+'12;40'!#REF!</f>
        <v>#REF!</v>
      </c>
      <c r="H10" s="30" t="e">
        <f t="shared" si="0"/>
        <v>#REF!</v>
      </c>
      <c r="I10" s="31">
        <v>35</v>
      </c>
      <c r="J10" s="32" t="e">
        <f>+H10*I10</f>
        <v>#REF!</v>
      </c>
    </row>
    <row r="11" spans="1:10" ht="22.5" customHeight="1" thickBot="1">
      <c r="A11" s="33" t="s">
        <v>40</v>
      </c>
      <c r="B11" s="34">
        <v>0.54513888888888895</v>
      </c>
      <c r="C11" s="35" t="e">
        <f>+'13;05'!#REF!</f>
        <v>#REF!</v>
      </c>
      <c r="D11" s="35" t="e">
        <f>+'13;05'!#REF!</f>
        <v>#REF!</v>
      </c>
      <c r="E11" s="35" t="e">
        <f>+'13;05'!#REF!</f>
        <v>#REF!</v>
      </c>
      <c r="F11" s="35" t="e">
        <f>+'13;05'!#REF!</f>
        <v>#REF!</v>
      </c>
      <c r="G11" s="35" t="e">
        <f>+'13;05'!#REF!</f>
        <v>#REF!</v>
      </c>
      <c r="H11" s="30" t="e">
        <f t="shared" si="0"/>
        <v>#REF!</v>
      </c>
      <c r="I11" s="37">
        <v>35</v>
      </c>
      <c r="J11" s="32" t="e">
        <f>+H11*I11</f>
        <v>#REF!</v>
      </c>
    </row>
    <row r="12" spans="1:10" ht="22.5" customHeight="1" thickBot="1">
      <c r="A12" s="475" t="s">
        <v>41</v>
      </c>
      <c r="B12" s="476"/>
      <c r="C12" s="38" t="e">
        <f>SUM(C7:C11)</f>
        <v>#REF!</v>
      </c>
      <c r="D12" s="38" t="e">
        <f t="shared" ref="D12:G12" si="1">SUM(D7:D11)</f>
        <v>#REF!</v>
      </c>
      <c r="E12" s="38" t="e">
        <f t="shared" si="1"/>
        <v>#REF!</v>
      </c>
      <c r="F12" s="38" t="e">
        <f t="shared" si="1"/>
        <v>#REF!</v>
      </c>
      <c r="G12" s="38" t="e">
        <f t="shared" si="1"/>
        <v>#REF!</v>
      </c>
      <c r="H12" s="96" t="e">
        <f>SUM(H7:H11)</f>
        <v>#REF!</v>
      </c>
      <c r="I12" s="97"/>
      <c r="J12" s="97"/>
    </row>
    <row r="13" spans="1:10" ht="16" thickBot="1">
      <c r="H13" s="98" t="e">
        <f>SUM(H7:H11)</f>
        <v>#REF!</v>
      </c>
      <c r="I13" s="99" t="s">
        <v>43</v>
      </c>
      <c r="J13" s="100" t="e">
        <f>SUM(J7:J11)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H5:H6"/>
    <mergeCell ref="I5:I6"/>
    <mergeCell ref="J5:J6"/>
    <mergeCell ref="D1:J4"/>
    <mergeCell ref="D5:D6"/>
    <mergeCell ref="E5:E6"/>
    <mergeCell ref="F5:F6"/>
    <mergeCell ref="A12:B12"/>
    <mergeCell ref="A1:C4"/>
    <mergeCell ref="A5:B6"/>
    <mergeCell ref="C5:C6"/>
    <mergeCell ref="G5:G6"/>
  </mergeCells>
  <pageMargins left="0.7" right="0.7" top="0.75" bottom="0.75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001"/>
  <sheetViews>
    <sheetView zoomScale="117" zoomScaleNormal="117" workbookViewId="0">
      <selection activeCell="C11" sqref="C11"/>
    </sheetView>
  </sheetViews>
  <sheetFormatPr baseColWidth="10" defaultColWidth="14.5" defaultRowHeight="15" customHeight="1"/>
  <cols>
    <col min="1" max="1" width="10.6640625" customWidth="1"/>
    <col min="2" max="2" width="8.1640625" customWidth="1"/>
    <col min="3" max="3" width="7.6640625" customWidth="1"/>
    <col min="4" max="4" width="8.33203125" customWidth="1"/>
    <col min="5" max="7" width="8.1640625" customWidth="1"/>
    <col min="8" max="8" width="11.33203125" customWidth="1"/>
    <col min="9" max="9" width="12.1640625" customWidth="1"/>
    <col min="10" max="10" width="11.33203125" customWidth="1"/>
  </cols>
  <sheetData>
    <row r="1" spans="1:10">
      <c r="A1" s="477"/>
      <c r="B1" s="436"/>
      <c r="C1" s="478"/>
      <c r="D1" s="495" t="s">
        <v>748</v>
      </c>
      <c r="E1" s="496"/>
      <c r="F1" s="496"/>
      <c r="G1" s="496"/>
      <c r="H1" s="496"/>
      <c r="I1" s="496"/>
      <c r="J1" s="497"/>
    </row>
    <row r="2" spans="1:10">
      <c r="A2" s="438"/>
      <c r="B2" s="439"/>
      <c r="C2" s="479"/>
      <c r="D2" s="438"/>
      <c r="E2" s="439"/>
      <c r="F2" s="439"/>
      <c r="G2" s="439"/>
      <c r="H2" s="439"/>
      <c r="I2" s="439"/>
      <c r="J2" s="498"/>
    </row>
    <row r="3" spans="1:10">
      <c r="A3" s="438"/>
      <c r="B3" s="439"/>
      <c r="C3" s="479"/>
      <c r="D3" s="438"/>
      <c r="E3" s="439"/>
      <c r="F3" s="439"/>
      <c r="G3" s="439"/>
      <c r="H3" s="439"/>
      <c r="I3" s="439"/>
      <c r="J3" s="498"/>
    </row>
    <row r="4" spans="1:10" ht="27" customHeight="1">
      <c r="A4" s="440"/>
      <c r="B4" s="441"/>
      <c r="C4" s="480"/>
      <c r="D4" s="440"/>
      <c r="E4" s="441"/>
      <c r="F4" s="441"/>
      <c r="G4" s="441"/>
      <c r="H4" s="441"/>
      <c r="I4" s="441"/>
      <c r="J4" s="499"/>
    </row>
    <row r="5" spans="1:10" ht="21.75" customHeight="1">
      <c r="A5" s="481" t="s">
        <v>32</v>
      </c>
      <c r="B5" s="479"/>
      <c r="C5" s="483">
        <v>46237</v>
      </c>
      <c r="D5" s="483">
        <v>46238</v>
      </c>
      <c r="E5" s="483">
        <v>46239</v>
      </c>
      <c r="F5" s="483">
        <v>46240</v>
      </c>
      <c r="G5" s="483">
        <v>46241</v>
      </c>
      <c r="H5" s="484" t="s">
        <v>33</v>
      </c>
      <c r="I5" s="484" t="s">
        <v>34</v>
      </c>
      <c r="J5" s="485" t="s">
        <v>35</v>
      </c>
    </row>
    <row r="6" spans="1:10" ht="21.75" customHeight="1">
      <c r="A6" s="482"/>
      <c r="B6" s="480"/>
      <c r="C6" s="434"/>
      <c r="D6" s="434"/>
      <c r="E6" s="434"/>
      <c r="F6" s="434"/>
      <c r="G6" s="434"/>
      <c r="H6" s="434"/>
      <c r="I6" s="434"/>
      <c r="J6" s="486"/>
    </row>
    <row r="7" spans="1:10" ht="22.5" customHeight="1">
      <c r="A7" s="28" t="s">
        <v>36</v>
      </c>
      <c r="B7" s="29">
        <v>0.49305555555555558</v>
      </c>
      <c r="C7" s="30">
        <f>+'11;50'!G95</f>
        <v>35</v>
      </c>
      <c r="D7" s="30">
        <f>+'11;50'!H95</f>
        <v>34</v>
      </c>
      <c r="E7" s="30">
        <f>+'11;50'!I95</f>
        <v>0</v>
      </c>
      <c r="F7" s="30"/>
      <c r="G7" s="30"/>
      <c r="H7" s="30">
        <f>SUM(C7:G7)</f>
        <v>69</v>
      </c>
      <c r="I7" s="31">
        <v>32</v>
      </c>
      <c r="J7" s="32">
        <f>+H7*I7</f>
        <v>2208</v>
      </c>
    </row>
    <row r="8" spans="1:10" ht="22.5" customHeight="1">
      <c r="A8" s="28" t="s">
        <v>37</v>
      </c>
      <c r="B8" s="29">
        <v>0.5</v>
      </c>
      <c r="C8" s="30">
        <f>+'12;00'!G158</f>
        <v>62</v>
      </c>
      <c r="D8" s="30">
        <f>+'12;00'!H158</f>
        <v>56</v>
      </c>
      <c r="E8" s="30">
        <f>+'12;00'!I158</f>
        <v>59</v>
      </c>
      <c r="F8" s="30"/>
      <c r="G8" s="30"/>
      <c r="H8" s="30">
        <f t="shared" ref="H8:H11" si="0">SUM(C8:G8)</f>
        <v>177</v>
      </c>
      <c r="I8" s="31">
        <v>32</v>
      </c>
      <c r="J8" s="32">
        <f t="shared" ref="J8:J12" si="1">+H8*I8</f>
        <v>5664</v>
      </c>
    </row>
    <row r="9" spans="1:10" ht="22.5" customHeight="1">
      <c r="A9" s="28" t="s">
        <v>38</v>
      </c>
      <c r="B9" s="29">
        <v>0.47569444444444442</v>
      </c>
      <c r="C9" s="30">
        <f>+'11;25'!G160</f>
        <v>65</v>
      </c>
      <c r="D9" s="30">
        <f>+'11;25'!H160</f>
        <v>52</v>
      </c>
      <c r="E9" s="30">
        <f>+'11;25'!I160</f>
        <v>57</v>
      </c>
      <c r="F9" s="30"/>
      <c r="G9" s="30"/>
      <c r="H9" s="30">
        <f t="shared" si="0"/>
        <v>174</v>
      </c>
      <c r="I9" s="31">
        <v>32</v>
      </c>
      <c r="J9" s="32">
        <f t="shared" si="1"/>
        <v>5568</v>
      </c>
    </row>
    <row r="10" spans="1:10" ht="22.5" customHeight="1">
      <c r="A10" s="28" t="s">
        <v>39</v>
      </c>
      <c r="B10" s="29">
        <v>0.52777777777777779</v>
      </c>
      <c r="C10" s="30">
        <f>+'12;40'!G155</f>
        <v>70</v>
      </c>
      <c r="D10" s="30">
        <f>+'12;40'!H155</f>
        <v>59</v>
      </c>
      <c r="E10" s="30">
        <f>+'12;40'!I155</f>
        <v>1</v>
      </c>
      <c r="F10" s="30"/>
      <c r="G10" s="30"/>
      <c r="H10" s="30">
        <f t="shared" si="0"/>
        <v>130</v>
      </c>
      <c r="I10" s="31">
        <v>35</v>
      </c>
      <c r="J10" s="32">
        <f t="shared" si="1"/>
        <v>4550</v>
      </c>
    </row>
    <row r="11" spans="1:10" ht="22.5" customHeight="1">
      <c r="A11" s="33" t="s">
        <v>40</v>
      </c>
      <c r="B11" s="34">
        <v>0.54513888888888895</v>
      </c>
      <c r="C11" s="36">
        <f>+'13;05'!G156</f>
        <v>60</v>
      </c>
      <c r="D11" s="36">
        <f>+'13;05'!H156</f>
        <v>54</v>
      </c>
      <c r="E11" s="36">
        <f>+'13;05'!I156</f>
        <v>0</v>
      </c>
      <c r="F11" s="36"/>
      <c r="G11" s="36"/>
      <c r="H11" s="30">
        <f t="shared" si="0"/>
        <v>114</v>
      </c>
      <c r="I11" s="37">
        <v>35</v>
      </c>
      <c r="J11" s="32">
        <f t="shared" si="1"/>
        <v>3990</v>
      </c>
    </row>
    <row r="12" spans="1:10" ht="22.5" customHeight="1">
      <c r="A12" s="475" t="s">
        <v>41</v>
      </c>
      <c r="B12" s="476"/>
      <c r="C12" s="38">
        <f>SUM(C7:C11)</f>
        <v>292</v>
      </c>
      <c r="D12" s="38">
        <f t="shared" ref="D12:G12" si="2">SUM(D7:D11)</f>
        <v>255</v>
      </c>
      <c r="E12" s="38">
        <f t="shared" si="2"/>
        <v>117</v>
      </c>
      <c r="F12" s="38">
        <f t="shared" si="2"/>
        <v>0</v>
      </c>
      <c r="G12" s="38">
        <f t="shared" si="2"/>
        <v>0</v>
      </c>
      <c r="H12" s="39"/>
      <c r="I12" s="40">
        <v>0</v>
      </c>
      <c r="J12" s="32">
        <f t="shared" si="1"/>
        <v>0</v>
      </c>
    </row>
    <row r="13" spans="1:10" ht="22.5" customHeight="1">
      <c r="F13" s="493" t="s">
        <v>42</v>
      </c>
      <c r="G13" s="476"/>
      <c r="H13" s="42">
        <f>SUM(H7:H11)</f>
        <v>664</v>
      </c>
      <c r="I13" s="41" t="s">
        <v>43</v>
      </c>
      <c r="J13" s="41">
        <f>SUM(J7:J11)</f>
        <v>21980</v>
      </c>
    </row>
    <row r="14" spans="1:10">
      <c r="A14" s="494"/>
      <c r="B14" s="439"/>
      <c r="C14" s="43"/>
      <c r="D14" s="43"/>
      <c r="E14" s="43"/>
      <c r="F14" s="43"/>
      <c r="G14" s="43"/>
      <c r="J14" s="4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4">
    <mergeCell ref="F13:G13"/>
    <mergeCell ref="A14:B14"/>
    <mergeCell ref="A1:C4"/>
    <mergeCell ref="D1:J4"/>
    <mergeCell ref="A5:B6"/>
    <mergeCell ref="C5:C6"/>
    <mergeCell ref="D5:D6"/>
    <mergeCell ref="E5:E6"/>
    <mergeCell ref="F5:F6"/>
    <mergeCell ref="G5:G6"/>
    <mergeCell ref="H5:H6"/>
    <mergeCell ref="I5:I6"/>
    <mergeCell ref="J5:J6"/>
    <mergeCell ref="A12:B12"/>
  </mergeCells>
  <pageMargins left="0.7" right="0.7" top="0.75" bottom="0.75" header="0" footer="0"/>
  <pageSetup scale="9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>
      <selection activeCell="C11" sqref="C11"/>
    </sheetView>
  </sheetViews>
  <sheetFormatPr baseColWidth="10" defaultColWidth="14.5" defaultRowHeight="15" customHeight="1"/>
  <cols>
    <col min="1" max="1" width="10.6640625" customWidth="1"/>
    <col min="2" max="4" width="8.1640625" customWidth="1"/>
    <col min="5" max="7" width="9" customWidth="1"/>
    <col min="8" max="8" width="11.5" customWidth="1"/>
    <col min="9" max="9" width="12.33203125" customWidth="1"/>
    <col min="10" max="10" width="11.5" customWidth="1"/>
  </cols>
  <sheetData>
    <row r="1" spans="1:10" ht="22.5" customHeight="1">
      <c r="A1" s="500"/>
      <c r="B1" s="501"/>
      <c r="C1" s="501"/>
      <c r="D1" s="505" t="s">
        <v>749</v>
      </c>
      <c r="E1" s="505"/>
      <c r="F1" s="505"/>
      <c r="G1" s="505"/>
      <c r="H1" s="505"/>
      <c r="I1" s="505"/>
      <c r="J1" s="506"/>
    </row>
    <row r="2" spans="1:10" ht="22.5" customHeight="1">
      <c r="A2" s="481"/>
      <c r="B2" s="502"/>
      <c r="C2" s="502"/>
      <c r="D2" s="488"/>
      <c r="E2" s="488"/>
      <c r="F2" s="488"/>
      <c r="G2" s="488"/>
      <c r="H2" s="488"/>
      <c r="I2" s="488"/>
      <c r="J2" s="489"/>
    </row>
    <row r="3" spans="1:10" ht="28.5" customHeight="1">
      <c r="A3" s="481"/>
      <c r="B3" s="502"/>
      <c r="C3" s="502"/>
      <c r="D3" s="488"/>
      <c r="E3" s="488"/>
      <c r="F3" s="488"/>
      <c r="G3" s="488"/>
      <c r="H3" s="488"/>
      <c r="I3" s="488"/>
      <c r="J3" s="489"/>
    </row>
    <row r="4" spans="1:10" ht="22.5" customHeight="1">
      <c r="A4" s="503"/>
      <c r="B4" s="504"/>
      <c r="C4" s="504"/>
      <c r="D4" s="491"/>
      <c r="E4" s="491"/>
      <c r="F4" s="491"/>
      <c r="G4" s="491"/>
      <c r="H4" s="491"/>
      <c r="I4" s="491"/>
      <c r="J4" s="492"/>
    </row>
    <row r="5" spans="1:10" ht="21.75" customHeight="1">
      <c r="A5" s="481" t="s">
        <v>32</v>
      </c>
      <c r="B5" s="479"/>
      <c r="C5" s="483">
        <v>46244</v>
      </c>
      <c r="D5" s="483">
        <v>46245</v>
      </c>
      <c r="E5" s="483">
        <v>46246</v>
      </c>
      <c r="F5" s="483">
        <v>46247</v>
      </c>
      <c r="G5" s="483">
        <v>46248</v>
      </c>
      <c r="H5" s="484" t="s">
        <v>33</v>
      </c>
      <c r="I5" s="484" t="s">
        <v>34</v>
      </c>
      <c r="J5" s="485" t="s">
        <v>35</v>
      </c>
    </row>
    <row r="6" spans="1:10" ht="21.75" customHeight="1">
      <c r="A6" s="482"/>
      <c r="B6" s="480"/>
      <c r="C6" s="434"/>
      <c r="D6" s="434"/>
      <c r="E6" s="434"/>
      <c r="F6" s="434"/>
      <c r="G6" s="434"/>
      <c r="H6" s="434"/>
      <c r="I6" s="434"/>
      <c r="J6" s="486"/>
    </row>
    <row r="7" spans="1:10" ht="22.5" customHeight="1">
      <c r="A7" s="28" t="s">
        <v>36</v>
      </c>
      <c r="B7" s="29">
        <v>0.49305555555555558</v>
      </c>
      <c r="C7" s="30">
        <f>+'11;50'!J95</f>
        <v>35</v>
      </c>
      <c r="D7" s="30">
        <f>+'11;50'!K95</f>
        <v>35</v>
      </c>
      <c r="E7" s="30">
        <f>+'11;50'!L95</f>
        <v>33</v>
      </c>
      <c r="F7" s="30">
        <f>+'11;50'!M95</f>
        <v>34</v>
      </c>
      <c r="G7" s="30">
        <f>+'11;50'!N95</f>
        <v>32</v>
      </c>
      <c r="H7" s="30">
        <f>SUM(C7:G7)</f>
        <v>169</v>
      </c>
      <c r="I7" s="31">
        <v>32</v>
      </c>
      <c r="J7" s="32">
        <f>+I7*H7</f>
        <v>5408</v>
      </c>
    </row>
    <row r="8" spans="1:10" ht="22.5" customHeight="1">
      <c r="A8" s="28" t="s">
        <v>37</v>
      </c>
      <c r="B8" s="29">
        <v>0.5</v>
      </c>
      <c r="C8" s="30">
        <f>+'12;00'!J158</f>
        <v>59</v>
      </c>
      <c r="D8" s="30">
        <f>+'12;00'!K158</f>
        <v>53</v>
      </c>
      <c r="E8" s="30">
        <f>+'12;00'!L158</f>
        <v>55</v>
      </c>
      <c r="F8" s="30">
        <f>+'12;00'!M158</f>
        <v>54</v>
      </c>
      <c r="G8" s="30">
        <f>+'12;00'!N158</f>
        <v>58</v>
      </c>
      <c r="H8" s="30">
        <f t="shared" ref="H8:H11" si="0">SUM(C8:G8)</f>
        <v>279</v>
      </c>
      <c r="I8" s="31">
        <v>32</v>
      </c>
      <c r="J8" s="32">
        <f>+I8*H8</f>
        <v>8928</v>
      </c>
    </row>
    <row r="9" spans="1:10" ht="22.5" customHeight="1">
      <c r="A9" s="28" t="s">
        <v>38</v>
      </c>
      <c r="B9" s="29">
        <v>0.47569444444444442</v>
      </c>
      <c r="C9" s="30">
        <f>+'11;25'!J160</f>
        <v>64</v>
      </c>
      <c r="D9" s="30">
        <f>+'11;25'!K160</f>
        <v>55</v>
      </c>
      <c r="E9" s="30">
        <f>+'11;25'!L160</f>
        <v>57</v>
      </c>
      <c r="F9" s="30">
        <f>+'11;25'!M160</f>
        <v>58</v>
      </c>
      <c r="G9" s="30">
        <f>+'11;25'!N160</f>
        <v>58</v>
      </c>
      <c r="H9" s="30">
        <f t="shared" si="0"/>
        <v>292</v>
      </c>
      <c r="I9" s="31">
        <v>32</v>
      </c>
      <c r="J9" s="32">
        <f>+I9*H9</f>
        <v>9344</v>
      </c>
    </row>
    <row r="10" spans="1:10" ht="22.5" customHeight="1">
      <c r="A10" s="28" t="s">
        <v>39</v>
      </c>
      <c r="B10" s="29">
        <v>0.52777777777777779</v>
      </c>
      <c r="C10" s="30">
        <f>+'12;40'!J155</f>
        <v>65</v>
      </c>
      <c r="D10" s="30">
        <f>+'12;40'!K155</f>
        <v>58</v>
      </c>
      <c r="E10" s="30">
        <f>+'12;40'!L155</f>
        <v>57</v>
      </c>
      <c r="F10" s="30">
        <f>+'12;40'!M155</f>
        <v>57</v>
      </c>
      <c r="G10" s="30">
        <f>+'12;40'!N155</f>
        <v>57</v>
      </c>
      <c r="H10" s="30">
        <f t="shared" si="0"/>
        <v>294</v>
      </c>
      <c r="I10" s="31">
        <v>35</v>
      </c>
      <c r="J10" s="32">
        <f>+I10*H10</f>
        <v>10290</v>
      </c>
    </row>
    <row r="11" spans="1:10" ht="22.5" customHeight="1" thickBot="1">
      <c r="A11" s="45" t="s">
        <v>40</v>
      </c>
      <c r="B11" s="34">
        <v>0.54513888888888895</v>
      </c>
      <c r="C11" s="35">
        <f>+'13;05'!J156</f>
        <v>56</v>
      </c>
      <c r="D11" s="35">
        <f>+'13;05'!K156</f>
        <v>52</v>
      </c>
      <c r="E11" s="35">
        <f>+'13;05'!L156</f>
        <v>50</v>
      </c>
      <c r="F11" s="35">
        <f>+'13;05'!M156</f>
        <v>52</v>
      </c>
      <c r="G11" s="35">
        <f>+'13;05'!N156</f>
        <v>53</v>
      </c>
      <c r="H11" s="30">
        <f t="shared" si="0"/>
        <v>263</v>
      </c>
      <c r="I11" s="46">
        <v>35</v>
      </c>
      <c r="J11" s="47">
        <f>+I11*H11</f>
        <v>9205</v>
      </c>
    </row>
    <row r="12" spans="1:10" ht="22.5" customHeight="1" thickBot="1">
      <c r="A12" s="475" t="s">
        <v>41</v>
      </c>
      <c r="B12" s="476"/>
      <c r="C12" s="219">
        <f>+SUM(C7:C11)</f>
        <v>279</v>
      </c>
      <c r="D12" s="219">
        <f t="shared" ref="D12:G12" si="1">+SUM(D7:D11)</f>
        <v>253</v>
      </c>
      <c r="E12" s="219">
        <f t="shared" si="1"/>
        <v>252</v>
      </c>
      <c r="F12" s="219">
        <f t="shared" si="1"/>
        <v>255</v>
      </c>
      <c r="G12" s="219">
        <f t="shared" si="1"/>
        <v>258</v>
      </c>
      <c r="H12" s="38">
        <f>SUM(H7:H11)</f>
        <v>1297</v>
      </c>
      <c r="I12" s="40"/>
      <c r="J12" s="40"/>
    </row>
    <row r="13" spans="1:10" ht="22.5" customHeight="1" thickBot="1">
      <c r="G13" s="107" t="s">
        <v>42</v>
      </c>
      <c r="H13" s="42">
        <f>SUM(H7:H11)</f>
        <v>1297</v>
      </c>
      <c r="I13" s="41" t="s">
        <v>43</v>
      </c>
      <c r="J13" s="41">
        <f>SUM(J7:J12)</f>
        <v>43175</v>
      </c>
    </row>
    <row r="14" spans="1:10">
      <c r="J14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2:B12"/>
    <mergeCell ref="A5:B6"/>
    <mergeCell ref="E5:E6"/>
    <mergeCell ref="F5:F6"/>
    <mergeCell ref="G5:G6"/>
    <mergeCell ref="A1:C4"/>
    <mergeCell ref="D1:J4"/>
    <mergeCell ref="H5:H6"/>
    <mergeCell ref="I5:I6"/>
    <mergeCell ref="J5:J6"/>
    <mergeCell ref="C5:C6"/>
    <mergeCell ref="D5:D6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A9FE-40AE-4443-851D-70C96FA8CB90}">
  <dimension ref="A1:L1000"/>
  <sheetViews>
    <sheetView workbookViewId="0">
      <selection activeCell="L14" sqref="L14"/>
    </sheetView>
  </sheetViews>
  <sheetFormatPr baseColWidth="10" defaultColWidth="14.5" defaultRowHeight="15" customHeight="1"/>
  <cols>
    <col min="1" max="1" width="10.6640625" customWidth="1"/>
    <col min="2" max="2" width="8.1640625" customWidth="1"/>
    <col min="3" max="7" width="6.83203125" customWidth="1"/>
    <col min="8" max="8" width="11.5" customWidth="1"/>
    <col min="9" max="9" width="12.33203125" customWidth="1"/>
    <col min="10" max="10" width="11.5" customWidth="1"/>
  </cols>
  <sheetData>
    <row r="1" spans="1:12" ht="15" customHeight="1">
      <c r="A1" s="500"/>
      <c r="B1" s="501"/>
      <c r="C1" s="501"/>
      <c r="D1" s="505" t="s">
        <v>750</v>
      </c>
      <c r="E1" s="505"/>
      <c r="F1" s="505"/>
      <c r="G1" s="505"/>
      <c r="H1" s="505"/>
      <c r="I1" s="505"/>
      <c r="J1" s="506"/>
    </row>
    <row r="2" spans="1:12">
      <c r="A2" s="481"/>
      <c r="B2" s="502"/>
      <c r="C2" s="502"/>
      <c r="D2" s="488"/>
      <c r="E2" s="488"/>
      <c r="F2" s="488"/>
      <c r="G2" s="488"/>
      <c r="H2" s="488"/>
      <c r="I2" s="488"/>
      <c r="J2" s="489"/>
    </row>
    <row r="3" spans="1:12">
      <c r="A3" s="481"/>
      <c r="B3" s="502"/>
      <c r="C3" s="502"/>
      <c r="D3" s="488"/>
      <c r="E3" s="488"/>
      <c r="F3" s="488"/>
      <c r="G3" s="488"/>
      <c r="H3" s="488"/>
      <c r="I3" s="488"/>
      <c r="J3" s="489"/>
    </row>
    <row r="4" spans="1:12" ht="27" customHeight="1">
      <c r="A4" s="503"/>
      <c r="B4" s="504"/>
      <c r="C4" s="504"/>
      <c r="D4" s="491"/>
      <c r="E4" s="491"/>
      <c r="F4" s="491"/>
      <c r="G4" s="491"/>
      <c r="H4" s="491"/>
      <c r="I4" s="491"/>
      <c r="J4" s="492"/>
    </row>
    <row r="5" spans="1:12" ht="21.75" customHeight="1">
      <c r="A5" s="481" t="s">
        <v>32</v>
      </c>
      <c r="B5" s="479"/>
      <c r="C5" s="483">
        <v>46251</v>
      </c>
      <c r="D5" s="483">
        <v>46252</v>
      </c>
      <c r="E5" s="483">
        <v>46253</v>
      </c>
      <c r="F5" s="483">
        <v>46254</v>
      </c>
      <c r="G5" s="483">
        <v>46255</v>
      </c>
      <c r="H5" s="484" t="s">
        <v>33</v>
      </c>
      <c r="I5" s="484" t="s">
        <v>34</v>
      </c>
      <c r="J5" s="485" t="s">
        <v>35</v>
      </c>
    </row>
    <row r="6" spans="1:12" ht="21.75" customHeight="1">
      <c r="A6" s="482"/>
      <c r="B6" s="480"/>
      <c r="C6" s="434"/>
      <c r="D6" s="434"/>
      <c r="E6" s="434"/>
      <c r="F6" s="434"/>
      <c r="G6" s="434"/>
      <c r="H6" s="434"/>
      <c r="I6" s="434"/>
      <c r="J6" s="486"/>
    </row>
    <row r="7" spans="1:12" ht="22.5" customHeight="1">
      <c r="A7" s="28" t="s">
        <v>36</v>
      </c>
      <c r="B7" s="29">
        <v>0.49305555555555558</v>
      </c>
      <c r="C7" s="30">
        <f>+'11;50'!O95</f>
        <v>41</v>
      </c>
      <c r="D7" s="30">
        <f>+'11;50'!P95</f>
        <v>35</v>
      </c>
      <c r="E7" s="30">
        <f>+'11;50'!Q95</f>
        <v>33</v>
      </c>
      <c r="F7" s="30">
        <f>+'11;50'!R95</f>
        <v>34</v>
      </c>
      <c r="G7" s="30">
        <f>+'11;50'!S95</f>
        <v>30</v>
      </c>
      <c r="H7" s="30">
        <f>SUM(C7:G7)</f>
        <v>173</v>
      </c>
      <c r="I7" s="31">
        <v>32</v>
      </c>
      <c r="J7" s="32">
        <f t="shared" ref="J7:J11" si="0">+I7*H7</f>
        <v>5536</v>
      </c>
    </row>
    <row r="8" spans="1:12" ht="22.5" customHeight="1">
      <c r="A8" s="28" t="s">
        <v>37</v>
      </c>
      <c r="B8" s="29">
        <v>0.5</v>
      </c>
      <c r="C8" s="30">
        <f>+'12;00'!O158</f>
        <v>64</v>
      </c>
      <c r="D8" s="30">
        <f>+'12;00'!P158</f>
        <v>55</v>
      </c>
      <c r="E8" s="30">
        <f>+'12;00'!Q158</f>
        <v>55</v>
      </c>
      <c r="F8" s="30">
        <f>+'12;00'!R158</f>
        <v>55</v>
      </c>
      <c r="G8" s="30">
        <f>+'12;00'!S158</f>
        <v>58</v>
      </c>
      <c r="H8" s="30">
        <f t="shared" ref="H8:H11" si="1">SUM(C8:G8)</f>
        <v>287</v>
      </c>
      <c r="I8" s="31">
        <v>32</v>
      </c>
      <c r="J8" s="32">
        <f t="shared" si="0"/>
        <v>9184</v>
      </c>
    </row>
    <row r="9" spans="1:12" ht="22.5" customHeight="1">
      <c r="A9" s="28" t="s">
        <v>38</v>
      </c>
      <c r="B9" s="29">
        <v>0.47569444444444442</v>
      </c>
      <c r="C9" s="30">
        <f>+'11;25'!O160</f>
        <v>59</v>
      </c>
      <c r="D9" s="30">
        <f>+'11;25'!P160</f>
        <v>55</v>
      </c>
      <c r="E9" s="30">
        <f>+'11;25'!Q160</f>
        <v>54</v>
      </c>
      <c r="F9" s="30">
        <f>+'11;25'!R160</f>
        <v>62</v>
      </c>
      <c r="G9" s="30">
        <f>+'11;25'!S160</f>
        <v>61</v>
      </c>
      <c r="H9" s="30">
        <f t="shared" si="1"/>
        <v>291</v>
      </c>
      <c r="I9" s="31">
        <v>32</v>
      </c>
      <c r="J9" s="32">
        <f t="shared" si="0"/>
        <v>9312</v>
      </c>
    </row>
    <row r="10" spans="1:12" ht="22.5" customHeight="1">
      <c r="A10" s="28" t="s">
        <v>39</v>
      </c>
      <c r="B10" s="29">
        <v>0.52777777777777779</v>
      </c>
      <c r="C10" s="30">
        <f>+'12;40'!O155</f>
        <v>67</v>
      </c>
      <c r="D10" s="30">
        <f>+'12;40'!P155</f>
        <v>53</v>
      </c>
      <c r="E10" s="30">
        <f>+'12;40'!Q155</f>
        <v>50</v>
      </c>
      <c r="F10" s="30">
        <f>+'12;40'!R155</f>
        <v>51</v>
      </c>
      <c r="G10" s="30">
        <f>+'12;40'!S155</f>
        <v>53</v>
      </c>
      <c r="H10" s="30">
        <f t="shared" si="1"/>
        <v>274</v>
      </c>
      <c r="I10" s="31">
        <v>35</v>
      </c>
      <c r="J10" s="32">
        <f t="shared" si="0"/>
        <v>9590</v>
      </c>
    </row>
    <row r="11" spans="1:12" ht="22.5" customHeight="1" thickBot="1">
      <c r="A11" s="45" t="s">
        <v>40</v>
      </c>
      <c r="B11" s="34">
        <v>0.54513888888888895</v>
      </c>
      <c r="C11" s="35">
        <f>+'13;05'!O156</f>
        <v>54</v>
      </c>
      <c r="D11" s="35">
        <f>+'13;05'!P156</f>
        <v>48</v>
      </c>
      <c r="E11" s="35">
        <f>+'13;05'!Q156</f>
        <v>48</v>
      </c>
      <c r="F11" s="35">
        <f>+'13;05'!R156</f>
        <v>47</v>
      </c>
      <c r="G11" s="35">
        <f>+'13;05'!S156</f>
        <v>47</v>
      </c>
      <c r="H11" s="30">
        <f t="shared" si="1"/>
        <v>244</v>
      </c>
      <c r="I11" s="46">
        <v>35</v>
      </c>
      <c r="J11" s="32">
        <f t="shared" si="0"/>
        <v>8540</v>
      </c>
      <c r="L11" s="192"/>
    </row>
    <row r="12" spans="1:12" ht="22.5" customHeight="1" thickBot="1">
      <c r="A12" s="475" t="s">
        <v>41</v>
      </c>
      <c r="B12" s="476"/>
      <c r="C12" s="38">
        <f>SUM(C7:C11)</f>
        <v>285</v>
      </c>
      <c r="D12" s="38">
        <f t="shared" ref="D12:G12" si="2">SUM(D7:D11)</f>
        <v>246</v>
      </c>
      <c r="E12" s="38">
        <f t="shared" si="2"/>
        <v>240</v>
      </c>
      <c r="F12" s="38">
        <f t="shared" si="2"/>
        <v>249</v>
      </c>
      <c r="G12" s="38">
        <f t="shared" si="2"/>
        <v>249</v>
      </c>
      <c r="H12" s="38"/>
      <c r="I12" s="40"/>
      <c r="J12" s="40"/>
    </row>
    <row r="13" spans="1:12" ht="22.5" customHeight="1" thickBot="1">
      <c r="E13" s="507" t="s">
        <v>42</v>
      </c>
      <c r="F13" s="508"/>
      <c r="G13" s="509"/>
      <c r="H13" s="42">
        <f>SUM(H7:H11)</f>
        <v>1269</v>
      </c>
      <c r="I13" s="41" t="s">
        <v>43</v>
      </c>
      <c r="J13" s="41">
        <f>SUM(J7:J12)</f>
        <v>42162</v>
      </c>
    </row>
    <row r="14" spans="1:12">
      <c r="J14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6"/>
    <mergeCell ref="A12:B12"/>
    <mergeCell ref="E13:G13"/>
    <mergeCell ref="A1:C4"/>
    <mergeCell ref="D1:J4"/>
    <mergeCell ref="A5:B6"/>
    <mergeCell ref="C5:C6"/>
    <mergeCell ref="D5:D6"/>
    <mergeCell ref="E5:E6"/>
    <mergeCell ref="F5:F6"/>
    <mergeCell ref="G5:G6"/>
    <mergeCell ref="H5:H6"/>
    <mergeCell ref="I5:I6"/>
  </mergeCells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75A4-AA35-4988-A233-2EE23995646C}">
  <dimension ref="A1:L1000"/>
  <sheetViews>
    <sheetView workbookViewId="0">
      <selection activeCell="G7" sqref="G7"/>
    </sheetView>
  </sheetViews>
  <sheetFormatPr baseColWidth="10" defaultColWidth="14.5" defaultRowHeight="15" customHeight="1"/>
  <cols>
    <col min="1" max="1" width="10.6640625" customWidth="1"/>
    <col min="2" max="2" width="8.1640625" customWidth="1"/>
    <col min="3" max="7" width="6.83203125" customWidth="1"/>
    <col min="8" max="8" width="11.5" customWidth="1"/>
    <col min="9" max="9" width="12.33203125" customWidth="1"/>
    <col min="10" max="10" width="11.5" customWidth="1"/>
  </cols>
  <sheetData>
    <row r="1" spans="1:12" ht="15" customHeight="1">
      <c r="A1" s="500"/>
      <c r="B1" s="496"/>
      <c r="C1" s="510"/>
      <c r="D1" s="505" t="s">
        <v>751</v>
      </c>
      <c r="E1" s="505"/>
      <c r="F1" s="505"/>
      <c r="G1" s="505"/>
      <c r="H1" s="505"/>
      <c r="I1" s="505"/>
      <c r="J1" s="506"/>
    </row>
    <row r="2" spans="1:12">
      <c r="A2" s="511"/>
      <c r="B2" s="439"/>
      <c r="C2" s="479"/>
      <c r="D2" s="488"/>
      <c r="E2" s="488"/>
      <c r="F2" s="488"/>
      <c r="G2" s="488"/>
      <c r="H2" s="488"/>
      <c r="I2" s="488"/>
      <c r="J2" s="489"/>
    </row>
    <row r="3" spans="1:12">
      <c r="A3" s="511"/>
      <c r="B3" s="439"/>
      <c r="C3" s="479"/>
      <c r="D3" s="488"/>
      <c r="E3" s="488"/>
      <c r="F3" s="488"/>
      <c r="G3" s="488"/>
      <c r="H3" s="488"/>
      <c r="I3" s="488"/>
      <c r="J3" s="489"/>
    </row>
    <row r="4" spans="1:12" ht="27" customHeight="1">
      <c r="A4" s="482"/>
      <c r="B4" s="441"/>
      <c r="C4" s="480"/>
      <c r="D4" s="491"/>
      <c r="E4" s="491"/>
      <c r="F4" s="491"/>
      <c r="G4" s="491"/>
      <c r="H4" s="491"/>
      <c r="I4" s="491"/>
      <c r="J4" s="492"/>
    </row>
    <row r="5" spans="1:12" ht="21.75" customHeight="1">
      <c r="A5" s="481" t="s">
        <v>32</v>
      </c>
      <c r="B5" s="479"/>
      <c r="C5" s="483">
        <v>46258</v>
      </c>
      <c r="D5" s="483">
        <v>46259</v>
      </c>
      <c r="E5" s="483">
        <v>46260</v>
      </c>
      <c r="F5" s="483">
        <v>46261</v>
      </c>
      <c r="G5" s="483">
        <v>46262</v>
      </c>
      <c r="H5" s="484" t="s">
        <v>33</v>
      </c>
      <c r="I5" s="484" t="s">
        <v>34</v>
      </c>
      <c r="J5" s="485" t="s">
        <v>35</v>
      </c>
    </row>
    <row r="6" spans="1:12" ht="21.75" customHeight="1">
      <c r="A6" s="482"/>
      <c r="B6" s="480"/>
      <c r="C6" s="434"/>
      <c r="D6" s="434"/>
      <c r="E6" s="434"/>
      <c r="F6" s="434"/>
      <c r="G6" s="434"/>
      <c r="H6" s="434"/>
      <c r="I6" s="434"/>
      <c r="J6" s="486"/>
    </row>
    <row r="7" spans="1:12" ht="22.5" customHeight="1">
      <c r="A7" s="28" t="s">
        <v>36</v>
      </c>
      <c r="B7" s="29">
        <v>0.49305555555555558</v>
      </c>
      <c r="C7" s="30">
        <f>+'11;50'!T95</f>
        <v>39</v>
      </c>
      <c r="D7" s="30">
        <f>+'11;50'!U95</f>
        <v>35</v>
      </c>
      <c r="E7" s="30">
        <f>+'11;50'!V95</f>
        <v>34</v>
      </c>
      <c r="F7" s="30">
        <f>+'11;50'!W95</f>
        <v>35</v>
      </c>
      <c r="G7" s="30"/>
      <c r="H7" s="30">
        <f>SUM(C7:G7)</f>
        <v>143</v>
      </c>
      <c r="I7" s="31">
        <v>32</v>
      </c>
      <c r="J7" s="32">
        <f t="shared" ref="J7:J11" si="0">+I7*H7</f>
        <v>4576</v>
      </c>
    </row>
    <row r="8" spans="1:12" ht="22.5" customHeight="1">
      <c r="A8" s="28" t="s">
        <v>37</v>
      </c>
      <c r="B8" s="29">
        <v>0.5</v>
      </c>
      <c r="C8" s="30">
        <f>+'12;00'!T158</f>
        <v>62</v>
      </c>
      <c r="D8" s="30">
        <f>+'12;00'!U158</f>
        <v>58</v>
      </c>
      <c r="E8" s="30">
        <f>+'12;00'!V158</f>
        <v>52</v>
      </c>
      <c r="F8" s="30">
        <f>+'12;00'!W158</f>
        <v>50</v>
      </c>
      <c r="G8" s="30">
        <f>+'12;00'!X158</f>
        <v>58</v>
      </c>
      <c r="H8" s="30">
        <f t="shared" ref="H8:H11" si="1">SUM(C8:G8)</f>
        <v>280</v>
      </c>
      <c r="I8" s="31">
        <v>32</v>
      </c>
      <c r="J8" s="32">
        <f t="shared" si="0"/>
        <v>8960</v>
      </c>
    </row>
    <row r="9" spans="1:12" ht="22.5" customHeight="1">
      <c r="A9" s="28" t="s">
        <v>38</v>
      </c>
      <c r="B9" s="29">
        <v>0.47569444444444442</v>
      </c>
      <c r="C9" s="30">
        <f>+'11;25'!T160</f>
        <v>70</v>
      </c>
      <c r="D9" s="30">
        <f>+'11;25'!U160</f>
        <v>56</v>
      </c>
      <c r="E9" s="30">
        <f>+'11;25'!V160</f>
        <v>52</v>
      </c>
      <c r="F9" s="30">
        <f>+'11;25'!W160</f>
        <v>57</v>
      </c>
      <c r="G9" s="30">
        <f>+'11;25'!X160</f>
        <v>58</v>
      </c>
      <c r="H9" s="30">
        <f t="shared" si="1"/>
        <v>293</v>
      </c>
      <c r="I9" s="31">
        <v>32</v>
      </c>
      <c r="J9" s="32">
        <f t="shared" si="0"/>
        <v>9376</v>
      </c>
    </row>
    <row r="10" spans="1:12" ht="22.5" customHeight="1">
      <c r="A10" s="28" t="s">
        <v>39</v>
      </c>
      <c r="B10" s="29">
        <v>0.52777777777777779</v>
      </c>
      <c r="C10" s="30">
        <f>+'12;40'!T155</f>
        <v>64</v>
      </c>
      <c r="D10" s="30">
        <f>+'12;40'!U155</f>
        <v>56</v>
      </c>
      <c r="E10" s="30">
        <f>+'12;40'!V155</f>
        <v>56</v>
      </c>
      <c r="F10" s="30">
        <f>+'12;40'!W155</f>
        <v>57</v>
      </c>
      <c r="G10" s="30">
        <f>+'12;40'!X155</f>
        <v>57</v>
      </c>
      <c r="H10" s="30">
        <f t="shared" si="1"/>
        <v>290</v>
      </c>
      <c r="I10" s="31">
        <v>35</v>
      </c>
      <c r="J10" s="32">
        <f t="shared" si="0"/>
        <v>10150</v>
      </c>
    </row>
    <row r="11" spans="1:12" ht="22.5" customHeight="1" thickBot="1">
      <c r="A11" s="45" t="s">
        <v>40</v>
      </c>
      <c r="B11" s="34">
        <v>0.54513888888888895</v>
      </c>
      <c r="C11" s="35">
        <f>+'13;05'!T156</f>
        <v>46</v>
      </c>
      <c r="D11" s="35">
        <f>+'13;05'!U156</f>
        <v>49</v>
      </c>
      <c r="E11" s="35">
        <f>+'13;05'!V156</f>
        <v>52</v>
      </c>
      <c r="F11" s="35">
        <f>+'13;05'!W156</f>
        <v>48</v>
      </c>
      <c r="G11" s="35">
        <f>+'13;05'!X156</f>
        <v>49</v>
      </c>
      <c r="H11" s="30">
        <f t="shared" si="1"/>
        <v>244</v>
      </c>
      <c r="I11" s="46">
        <v>35</v>
      </c>
      <c r="J11" s="32">
        <f t="shared" si="0"/>
        <v>8540</v>
      </c>
      <c r="L11" s="192"/>
    </row>
    <row r="12" spans="1:12" ht="22.5" customHeight="1" thickBot="1">
      <c r="A12" s="475" t="s">
        <v>41</v>
      </c>
      <c r="B12" s="476"/>
      <c r="C12" s="38">
        <f>SUM(C7:C11)</f>
        <v>281</v>
      </c>
      <c r="D12" s="38">
        <f t="shared" ref="D12:G12" si="2">SUM(D7:D11)</f>
        <v>254</v>
      </c>
      <c r="E12" s="38">
        <f t="shared" si="2"/>
        <v>246</v>
      </c>
      <c r="F12" s="38">
        <f t="shared" si="2"/>
        <v>247</v>
      </c>
      <c r="G12" s="38">
        <f t="shared" si="2"/>
        <v>222</v>
      </c>
      <c r="H12" s="222">
        <f>SUM(H7:H11)</f>
        <v>1250</v>
      </c>
      <c r="I12" s="40"/>
      <c r="J12" s="40"/>
    </row>
    <row r="13" spans="1:12" ht="22.5" customHeight="1" thickBot="1">
      <c r="E13" s="507" t="s">
        <v>42</v>
      </c>
      <c r="F13" s="508"/>
      <c r="G13" s="509"/>
      <c r="H13" s="42">
        <f>SUM(H7:H12)</f>
        <v>2500</v>
      </c>
      <c r="I13" s="41" t="s">
        <v>43</v>
      </c>
      <c r="J13" s="41">
        <f>SUM(J7:J12)</f>
        <v>41602</v>
      </c>
    </row>
    <row r="14" spans="1:12">
      <c r="J14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6"/>
    <mergeCell ref="A12:B12"/>
    <mergeCell ref="E13:G13"/>
    <mergeCell ref="A1:C4"/>
    <mergeCell ref="D1:J4"/>
    <mergeCell ref="A5:B6"/>
    <mergeCell ref="C5:C6"/>
    <mergeCell ref="D5:D6"/>
    <mergeCell ref="E5:E6"/>
    <mergeCell ref="F5:F6"/>
    <mergeCell ref="G5:G6"/>
    <mergeCell ref="H5:H6"/>
    <mergeCell ref="I5:I6"/>
  </mergeCells>
  <pageMargins left="0.7" right="0.7" top="0.75" bottom="0.75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79F1-230A-4B7B-A5E2-2FEBC6D0EE8E}">
  <dimension ref="A1:L1000"/>
  <sheetViews>
    <sheetView workbookViewId="0">
      <selection activeCell="J18" sqref="J18"/>
    </sheetView>
  </sheetViews>
  <sheetFormatPr baseColWidth="10" defaultColWidth="14.5" defaultRowHeight="15" customHeight="1"/>
  <cols>
    <col min="1" max="1" width="10.6640625" customWidth="1"/>
    <col min="2" max="2" width="8.1640625" customWidth="1"/>
    <col min="3" max="7" width="6.83203125" customWidth="1"/>
    <col min="8" max="8" width="11.5" customWidth="1"/>
    <col min="9" max="9" width="12.33203125" customWidth="1"/>
    <col min="10" max="10" width="11.5" customWidth="1"/>
  </cols>
  <sheetData>
    <row r="1" spans="1:12" ht="15" customHeight="1">
      <c r="A1" s="500"/>
      <c r="B1" s="496"/>
      <c r="C1" s="510"/>
      <c r="D1" s="505" t="s">
        <v>752</v>
      </c>
      <c r="E1" s="505"/>
      <c r="F1" s="505"/>
      <c r="G1" s="505"/>
      <c r="H1" s="505"/>
      <c r="I1" s="505"/>
      <c r="J1" s="506"/>
    </row>
    <row r="2" spans="1:12">
      <c r="A2" s="511"/>
      <c r="B2" s="439"/>
      <c r="C2" s="479"/>
      <c r="D2" s="488"/>
      <c r="E2" s="488"/>
      <c r="F2" s="488"/>
      <c r="G2" s="488"/>
      <c r="H2" s="488"/>
      <c r="I2" s="488"/>
      <c r="J2" s="489"/>
    </row>
    <row r="3" spans="1:12">
      <c r="A3" s="511"/>
      <c r="B3" s="439"/>
      <c r="C3" s="479"/>
      <c r="D3" s="488"/>
      <c r="E3" s="488"/>
      <c r="F3" s="488"/>
      <c r="G3" s="488"/>
      <c r="H3" s="488"/>
      <c r="I3" s="488"/>
      <c r="J3" s="489"/>
    </row>
    <row r="4" spans="1:12" ht="27" customHeight="1">
      <c r="A4" s="482"/>
      <c r="B4" s="441"/>
      <c r="C4" s="480"/>
      <c r="D4" s="491"/>
      <c r="E4" s="491"/>
      <c r="F4" s="491"/>
      <c r="G4" s="491"/>
      <c r="H4" s="491"/>
      <c r="I4" s="491"/>
      <c r="J4" s="492"/>
    </row>
    <row r="5" spans="1:12" ht="21.75" customHeight="1">
      <c r="A5" s="481" t="s">
        <v>32</v>
      </c>
      <c r="B5" s="479"/>
      <c r="C5" s="483">
        <v>46265</v>
      </c>
      <c r="D5" s="483"/>
      <c r="E5" s="483"/>
      <c r="F5" s="483"/>
      <c r="G5" s="483"/>
      <c r="H5" s="484" t="s">
        <v>33</v>
      </c>
      <c r="I5" s="484" t="s">
        <v>34</v>
      </c>
      <c r="J5" s="485" t="s">
        <v>35</v>
      </c>
    </row>
    <row r="6" spans="1:12" ht="21.75" customHeight="1">
      <c r="A6" s="482"/>
      <c r="B6" s="480"/>
      <c r="C6" s="434"/>
      <c r="D6" s="434"/>
      <c r="E6" s="434"/>
      <c r="F6" s="434"/>
      <c r="G6" s="434"/>
      <c r="H6" s="434"/>
      <c r="I6" s="434"/>
      <c r="J6" s="486"/>
    </row>
    <row r="7" spans="1:12" ht="22.5" customHeight="1">
      <c r="A7" s="28" t="s">
        <v>36</v>
      </c>
      <c r="B7" s="29">
        <v>0.49305555555555558</v>
      </c>
      <c r="C7" s="30">
        <f>+'11;50'!Y95</f>
        <v>0</v>
      </c>
      <c r="D7" s="30"/>
      <c r="E7" s="30"/>
      <c r="F7" s="30"/>
      <c r="G7" s="30"/>
      <c r="H7" s="30">
        <f>SUM(C7:G7)</f>
        <v>0</v>
      </c>
      <c r="I7" s="31">
        <v>32</v>
      </c>
      <c r="J7" s="32">
        <f t="shared" ref="J7:J11" si="0">+I7*H7</f>
        <v>0</v>
      </c>
    </row>
    <row r="8" spans="1:12" ht="22.5" customHeight="1">
      <c r="A8" s="28" t="s">
        <v>37</v>
      </c>
      <c r="B8" s="29">
        <v>0.5</v>
      </c>
      <c r="C8" s="30">
        <f>+'12;00'!Y158</f>
        <v>0</v>
      </c>
      <c r="D8" s="30"/>
      <c r="E8" s="30"/>
      <c r="F8" s="30"/>
      <c r="G8" s="30"/>
      <c r="H8" s="30">
        <f t="shared" ref="H8:H11" si="1">SUM(C8:G8)</f>
        <v>0</v>
      </c>
      <c r="I8" s="31">
        <v>32</v>
      </c>
      <c r="J8" s="32">
        <f t="shared" si="0"/>
        <v>0</v>
      </c>
    </row>
    <row r="9" spans="1:12" ht="22.5" customHeight="1">
      <c r="A9" s="28" t="s">
        <v>38</v>
      </c>
      <c r="B9" s="29">
        <v>0.47569444444444442</v>
      </c>
      <c r="C9" s="30">
        <f>+'11;25'!Y160</f>
        <v>0</v>
      </c>
      <c r="D9" s="30"/>
      <c r="E9" s="30"/>
      <c r="F9" s="30"/>
      <c r="G9" s="30"/>
      <c r="H9" s="30">
        <f t="shared" si="1"/>
        <v>0</v>
      </c>
      <c r="I9" s="31">
        <v>32</v>
      </c>
      <c r="J9" s="32">
        <f t="shared" si="0"/>
        <v>0</v>
      </c>
    </row>
    <row r="10" spans="1:12" ht="22.5" customHeight="1">
      <c r="A10" s="28" t="s">
        <v>39</v>
      </c>
      <c r="B10" s="29">
        <v>0.52777777777777779</v>
      </c>
      <c r="C10" s="30">
        <f>+'12;40'!Y155</f>
        <v>0</v>
      </c>
      <c r="D10" s="30"/>
      <c r="E10" s="30"/>
      <c r="F10" s="30"/>
      <c r="G10" s="30"/>
      <c r="H10" s="30">
        <f t="shared" si="1"/>
        <v>0</v>
      </c>
      <c r="I10" s="31">
        <v>35</v>
      </c>
      <c r="J10" s="32">
        <f t="shared" si="0"/>
        <v>0</v>
      </c>
    </row>
    <row r="11" spans="1:12" ht="22.5" customHeight="1" thickBot="1">
      <c r="A11" s="45" t="s">
        <v>40</v>
      </c>
      <c r="B11" s="34">
        <v>0.54513888888888895</v>
      </c>
      <c r="C11" s="35">
        <f>+'13;05'!Y156</f>
        <v>0</v>
      </c>
      <c r="D11" s="35"/>
      <c r="E11" s="35"/>
      <c r="F11" s="35"/>
      <c r="G11" s="35"/>
      <c r="H11" s="30">
        <f t="shared" si="1"/>
        <v>0</v>
      </c>
      <c r="I11" s="46">
        <v>35</v>
      </c>
      <c r="J11" s="32">
        <f t="shared" si="0"/>
        <v>0</v>
      </c>
      <c r="L11" s="192"/>
    </row>
    <row r="12" spans="1:12" ht="22.5" customHeight="1" thickBot="1">
      <c r="A12" s="475" t="s">
        <v>41</v>
      </c>
      <c r="B12" s="476"/>
      <c r="C12" s="38">
        <f>SUM(C7:C11)</f>
        <v>0</v>
      </c>
      <c r="D12" s="38">
        <f t="shared" ref="D12:G12" si="2">SUM(D7:D11)</f>
        <v>0</v>
      </c>
      <c r="E12" s="38">
        <f t="shared" si="2"/>
        <v>0</v>
      </c>
      <c r="F12" s="38">
        <f t="shared" si="2"/>
        <v>0</v>
      </c>
      <c r="G12" s="38">
        <f t="shared" si="2"/>
        <v>0</v>
      </c>
      <c r="H12" s="222">
        <f>SUM(H7:H11)</f>
        <v>0</v>
      </c>
      <c r="I12" s="40"/>
      <c r="J12" s="40"/>
    </row>
    <row r="13" spans="1:12" ht="22.5" customHeight="1" thickBot="1">
      <c r="E13" s="507" t="s">
        <v>42</v>
      </c>
      <c r="F13" s="508"/>
      <c r="G13" s="509"/>
      <c r="H13" s="42">
        <f>SUM(H7:H12)</f>
        <v>0</v>
      </c>
      <c r="I13" s="41" t="s">
        <v>43</v>
      </c>
      <c r="J13" s="41">
        <f>SUM(J7:J12)</f>
        <v>0</v>
      </c>
    </row>
    <row r="14" spans="1:12">
      <c r="J14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6"/>
    <mergeCell ref="A12:B12"/>
    <mergeCell ref="E13:G13"/>
    <mergeCell ref="A1:C4"/>
    <mergeCell ref="D1:J4"/>
    <mergeCell ref="A5:B6"/>
    <mergeCell ref="C5:C6"/>
    <mergeCell ref="D5:D6"/>
    <mergeCell ref="E5:E6"/>
    <mergeCell ref="F5:F6"/>
    <mergeCell ref="G5:G6"/>
    <mergeCell ref="H5:H6"/>
    <mergeCell ref="I5:I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11;50</vt:lpstr>
      <vt:lpstr>11;25</vt:lpstr>
      <vt:lpstr>12;00</vt:lpstr>
      <vt:lpstr>12;40</vt:lpstr>
      <vt:lpstr>13;05</vt:lpstr>
      <vt:lpstr>RESUMEN 20 AL 24</vt:lpstr>
      <vt:lpstr>RES 03 AL 05</vt:lpstr>
      <vt:lpstr>RES 10 AL 14</vt:lpstr>
      <vt:lpstr>RES 17 AL 21</vt:lpstr>
      <vt:lpstr>RES 24 AL 28</vt:lpstr>
      <vt:lpstr>RES 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 Nuñes</dc:creator>
  <cp:lastModifiedBy>Fernanda Suárez C.</cp:lastModifiedBy>
  <cp:lastPrinted>2025-02-07T15:38:34Z</cp:lastPrinted>
  <dcterms:created xsi:type="dcterms:W3CDTF">2025-01-24T20:14:31Z</dcterms:created>
  <dcterms:modified xsi:type="dcterms:W3CDTF">2026-08-29T20:00:41Z</dcterms:modified>
</cp:coreProperties>
</file>